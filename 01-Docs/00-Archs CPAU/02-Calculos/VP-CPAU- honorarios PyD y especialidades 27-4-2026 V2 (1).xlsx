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D" sheetId="1" r:id="rId4"/>
    <sheet state="visible" name="PyD abril" sheetId="2" r:id="rId5"/>
    <sheet state="visible" name="especialidades" sheetId="3" r:id="rId6"/>
    <sheet state="visible" name="especialidades abril" sheetId="4" r:id="rId7"/>
  </sheets>
  <definedNames/>
  <calcPr/>
  <extLst>
    <ext uri="GoogleSheetsCustomDataVersion2">
      <go:sheetsCustomData xmlns:go="http://customooxmlschemas.google.com/" r:id="rId8" roundtripDataChecksum="H1hBZ6Ylyko0Z5aQRotvRuMX2yWlUYz4eQD+hr5ma+M="/>
    </ext>
  </extLst>
</workbook>
</file>

<file path=xl/sharedStrings.xml><?xml version="1.0" encoding="utf-8"?>
<sst xmlns="http://schemas.openxmlformats.org/spreadsheetml/2006/main" count="119" uniqueCount="39">
  <si>
    <t>ARANCEL CPAU</t>
  </si>
  <si>
    <t>k</t>
  </si>
  <si>
    <t>K actualizado</t>
  </si>
  <si>
    <t>usd/m2</t>
  </si>
  <si>
    <t>TC</t>
  </si>
  <si>
    <t>$/m2</t>
  </si>
  <si>
    <t>costo obra est</t>
  </si>
  <si>
    <t>MISMOS PORCENTAJES Y K DEL ARANCEL ACTUAL PERO SIN INCLUIR ASESORES</t>
  </si>
  <si>
    <t>m2</t>
  </si>
  <si>
    <t>$</t>
  </si>
  <si>
    <t>Ej obra</t>
  </si>
  <si>
    <t>1 a 5</t>
  </si>
  <si>
    <t>5 a 25</t>
  </si>
  <si>
    <t>más de 25</t>
  </si>
  <si>
    <t>Grupo 1</t>
  </si>
  <si>
    <t>ACTUAL</t>
  </si>
  <si>
    <t>ESPECIALIDADES</t>
  </si>
  <si>
    <t>hecho 23-3-2026</t>
  </si>
  <si>
    <t>CON COSTOS DE MARZO 2026</t>
  </si>
  <si>
    <t>modelo 1</t>
  </si>
  <si>
    <t>modelo x</t>
  </si>
  <si>
    <t>modelo 2</t>
  </si>
  <si>
    <t>modelo 3</t>
  </si>
  <si>
    <t>obra costo $</t>
  </si>
  <si>
    <t>SANITARIAS Y GAS</t>
  </si>
  <si>
    <t>CASO 1</t>
  </si>
  <si>
    <t>ELECTRICIDAD</t>
  </si>
  <si>
    <t>INCENDIO</t>
  </si>
  <si>
    <t>TERMOMECÁNICA</t>
  </si>
  <si>
    <t>CÁLCULO</t>
  </si>
  <si>
    <t>toma maximo valor</t>
  </si>
  <si>
    <t>toma la diferencia entre máximo y mínimo</t>
  </si>
  <si>
    <t>toma el valor de obra menos la máxima del anterior</t>
  </si>
  <si>
    <r>
      <rPr>
        <rFont val="Calibri"/>
        <b/>
        <color theme="1"/>
      </rPr>
      <t xml:space="preserve">CASO 1 - Máximo valor   </t>
    </r>
    <r>
      <rPr>
        <rFont val="Calibri"/>
        <b val="0"/>
        <color theme="1"/>
      </rPr>
      <t>Suma el total de cada una de las columnas</t>
    </r>
  </si>
  <si>
    <r>
      <rPr>
        <rFont val="Calibri"/>
        <b/>
        <color theme="1"/>
      </rPr>
      <t xml:space="preserve">CASO 2 - Rango 3   </t>
    </r>
    <r>
      <rPr>
        <rFont val="Calibri"/>
        <b val="0"/>
        <color theme="1"/>
      </rPr>
      <t>Suma el total de cada una de las columnas</t>
    </r>
  </si>
  <si>
    <r>
      <rPr>
        <rFont val="Calibri"/>
        <b/>
        <color theme="1"/>
      </rPr>
      <t xml:space="preserve">CASO 2 - Rango 2   </t>
    </r>
    <r>
      <rPr>
        <rFont val="Calibri"/>
        <b val="0"/>
        <color theme="1"/>
      </rPr>
      <t>Suma el total de cada una de las columnas</t>
    </r>
  </si>
  <si>
    <t>toma valor de obra</t>
  </si>
  <si>
    <r>
      <rPr>
        <rFont val="Calibri"/>
        <b/>
        <color theme="1"/>
      </rPr>
      <t xml:space="preserve">CASO 1 - Rango 1   </t>
    </r>
    <r>
      <rPr>
        <rFont val="Calibri"/>
        <b val="0"/>
        <color theme="1"/>
      </rPr>
      <t>Solo primera columna</t>
    </r>
  </si>
  <si>
    <t>0.5 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</si>
</sst>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00"/>
    <numFmt numFmtId="166" formatCode="0.00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1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1" fillId="2" fontId="2" numFmtId="0" xfId="0" applyAlignment="1" applyBorder="1" applyFont="1">
      <alignment horizontal="right"/>
    </xf>
    <xf borderId="1" fillId="2" fontId="2" numFmtId="4" xfId="0" applyAlignment="1" applyBorder="1" applyFont="1" applyNumberFormat="1">
      <alignment readingOrder="0"/>
    </xf>
    <xf borderId="0" fillId="3" fontId="1" numFmtId="4" xfId="0" applyAlignment="1" applyFill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4" xfId="0" applyFont="1" applyNumberFormat="1"/>
    <xf borderId="0" fillId="0" fontId="3" numFmtId="0" xfId="0" applyFont="1"/>
    <xf borderId="1" fillId="4" fontId="2" numFmtId="3" xfId="0" applyAlignment="1" applyBorder="1" applyFill="1" applyFont="1" applyNumberFormat="1">
      <alignment readingOrder="0"/>
    </xf>
    <xf borderId="1" fillId="5" fontId="2" numFmtId="0" xfId="0" applyBorder="1" applyFill="1" applyFont="1"/>
    <xf borderId="1" fillId="4" fontId="2" numFmtId="0" xfId="0" applyBorder="1" applyFont="1"/>
    <xf borderId="1" fillId="4" fontId="2" numFmtId="3" xfId="0" applyBorder="1" applyFont="1" applyNumberFormat="1"/>
    <xf borderId="2" fillId="3" fontId="1" numFmtId="0" xfId="0" applyAlignment="1" applyBorder="1" applyFont="1">
      <alignment readingOrder="0"/>
    </xf>
    <xf borderId="3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2" numFmtId="3" xfId="0" applyBorder="1" applyFont="1" applyNumberFormat="1"/>
    <xf borderId="5" fillId="0" fontId="2" numFmtId="3" xfId="0" applyBorder="1" applyFont="1" applyNumberFormat="1"/>
    <xf borderId="3" fillId="0" fontId="2" numFmtId="3" xfId="0" applyBorder="1" applyFont="1" applyNumberFormat="1"/>
    <xf borderId="2" fillId="3" fontId="2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5" fillId="0" fontId="1" numFmtId="3" xfId="0" applyBorder="1" applyFont="1" applyNumberFormat="1"/>
    <xf borderId="4" fillId="0" fontId="1" numFmtId="0" xfId="0" applyBorder="1" applyFont="1"/>
    <xf borderId="6" fillId="0" fontId="2" numFmtId="0" xfId="0" applyBorder="1" applyFont="1"/>
    <xf borderId="7" fillId="0" fontId="2" numFmtId="10" xfId="0" applyBorder="1" applyFont="1" applyNumberFormat="1"/>
    <xf borderId="6" fillId="0" fontId="2" numFmtId="10" xfId="0" applyBorder="1" applyFont="1" applyNumberFormat="1"/>
    <xf borderId="0" fillId="0" fontId="2" numFmtId="9" xfId="0" applyFont="1" applyNumberFormat="1"/>
    <xf borderId="1" fillId="2" fontId="2" numFmtId="4" xfId="0" applyBorder="1" applyFont="1" applyNumberFormat="1"/>
    <xf borderId="1" fillId="6" fontId="2" numFmtId="0" xfId="0" applyBorder="1" applyFill="1" applyFont="1"/>
    <xf borderId="8" fillId="7" fontId="2" numFmtId="0" xfId="0" applyBorder="1" applyFill="1" applyFont="1"/>
    <xf borderId="1" fillId="6" fontId="2" numFmtId="10" xfId="0" applyBorder="1" applyFont="1" applyNumberFormat="1"/>
    <xf borderId="0" fillId="0" fontId="2" numFmtId="3" xfId="0" applyFont="1" applyNumberFormat="1"/>
    <xf borderId="1" fillId="8" fontId="1" numFmtId="0" xfId="0" applyBorder="1" applyFill="1" applyFont="1"/>
    <xf borderId="0" fillId="0" fontId="1" numFmtId="0" xfId="0" applyFont="1"/>
    <xf borderId="1" fillId="3" fontId="2" numFmtId="3" xfId="0" applyBorder="1" applyFont="1" applyNumberFormat="1"/>
    <xf borderId="4" fillId="3" fontId="2" numFmtId="3" xfId="0" applyBorder="1" applyFont="1" applyNumberFormat="1"/>
    <xf borderId="1" fillId="7" fontId="1" numFmtId="0" xfId="0" applyBorder="1" applyFont="1"/>
    <xf borderId="2" fillId="0" fontId="2" numFmtId="165" xfId="0" applyBorder="1" applyFont="1" applyNumberFormat="1"/>
    <xf borderId="3" fillId="9" fontId="1" numFmtId="3" xfId="0" applyBorder="1" applyFill="1" applyFont="1" applyNumberFormat="1"/>
    <xf borderId="0" fillId="10" fontId="4" numFmtId="3" xfId="0" applyFill="1" applyFont="1" applyNumberFormat="1"/>
    <xf borderId="0" fillId="0" fontId="4" numFmtId="0" xfId="0" applyAlignment="1" applyFont="1">
      <alignment horizontal="right" readingOrder="0"/>
    </xf>
    <xf borderId="9" fillId="5" fontId="2" numFmtId="0" xfId="0" applyBorder="1" applyFont="1"/>
    <xf borderId="10" fillId="5" fontId="2" numFmtId="10" xfId="0" applyBorder="1" applyFont="1" applyNumberFormat="1"/>
    <xf borderId="9" fillId="5" fontId="2" numFmtId="10" xfId="0" applyBorder="1" applyFont="1" applyNumberFormat="1"/>
    <xf borderId="9" fillId="5" fontId="2" numFmtId="166" xfId="0" applyBorder="1" applyFont="1" applyNumberFormat="1"/>
    <xf borderId="0" fillId="3" fontId="3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1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8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10.71"/>
    <col customWidth="1" min="4" max="4" width="16.14"/>
    <col customWidth="1" min="5" max="5" width="15.29"/>
    <col customWidth="1" min="6" max="6" width="16.57"/>
    <col customWidth="1" min="7" max="7" width="14.57"/>
    <col customWidth="1" min="8" max="8" width="14.71"/>
    <col customWidth="1" min="9" max="9" width="15.14"/>
    <col customWidth="1" min="10" max="26" width="10.71"/>
  </cols>
  <sheetData>
    <row r="1" ht="14.25" customHeight="1"/>
    <row r="2" ht="14.25" customHeight="1">
      <c r="A2" s="1">
        <v>46104.0</v>
      </c>
      <c r="B2" s="2"/>
      <c r="C2" s="2" t="s">
        <v>0</v>
      </c>
      <c r="D2" s="2"/>
      <c r="E2" s="2"/>
      <c r="F2" s="2"/>
      <c r="G2" s="2"/>
      <c r="H2" s="2"/>
      <c r="I2" s="2"/>
    </row>
    <row r="3" ht="14.25" customHeight="1"/>
    <row r="4" ht="14.25" customHeight="1">
      <c r="C4" s="3" t="s">
        <v>1</v>
      </c>
      <c r="D4" s="4">
        <v>5.8918394783E8</v>
      </c>
      <c r="E4" s="5" t="s">
        <v>2</v>
      </c>
    </row>
    <row r="5" ht="14.25" customHeight="1">
      <c r="C5" s="6"/>
      <c r="D5" s="7"/>
      <c r="E5" s="7"/>
    </row>
    <row r="6" ht="14.25" customHeight="1">
      <c r="B6" s="8" t="s">
        <v>3</v>
      </c>
      <c r="C6" s="8" t="s">
        <v>4</v>
      </c>
      <c r="D6" s="7" t="s">
        <v>5</v>
      </c>
      <c r="E6" s="7"/>
    </row>
    <row r="7" ht="14.25" customHeight="1">
      <c r="A7" s="8" t="s">
        <v>6</v>
      </c>
      <c r="B7" s="8">
        <v>1500.0</v>
      </c>
      <c r="C7" s="8">
        <v>1410.0</v>
      </c>
      <c r="D7" s="9">
        <v>2240000.0</v>
      </c>
      <c r="E7" s="7"/>
      <c r="F7" s="10" t="s">
        <v>7</v>
      </c>
      <c r="G7" s="10"/>
      <c r="H7" s="10"/>
      <c r="I7" s="10"/>
      <c r="J7" s="10"/>
    </row>
    <row r="8" ht="14.25" customHeight="1">
      <c r="D8" s="7"/>
      <c r="E8" s="7"/>
    </row>
    <row r="9" ht="14.25" customHeight="1">
      <c r="D9" s="7"/>
      <c r="E9" s="7"/>
    </row>
    <row r="10" ht="14.25" customHeight="1">
      <c r="B10" s="6" t="s">
        <v>8</v>
      </c>
      <c r="C10" s="8" t="s">
        <v>9</v>
      </c>
      <c r="D10" s="6" t="s">
        <v>8</v>
      </c>
      <c r="E10" s="8" t="s">
        <v>9</v>
      </c>
      <c r="F10" s="6" t="s">
        <v>8</v>
      </c>
      <c r="G10" s="8" t="s">
        <v>9</v>
      </c>
      <c r="H10" s="6" t="s">
        <v>8</v>
      </c>
      <c r="I10" s="8" t="s">
        <v>9</v>
      </c>
    </row>
    <row r="11" ht="14.25" customHeight="1">
      <c r="A11" s="11" t="s">
        <v>10</v>
      </c>
      <c r="B11" s="12">
        <v>120.0</v>
      </c>
      <c r="C11" s="12">
        <f>+B11*D7</f>
        <v>268800000</v>
      </c>
      <c r="D11" s="12">
        <v>800.0</v>
      </c>
      <c r="E11" s="12">
        <f>+D11*D7</f>
        <v>1792000000</v>
      </c>
      <c r="F11" s="9">
        <v>5000.0</v>
      </c>
      <c r="G11" s="12">
        <f>+F11*D7</f>
        <v>11200000000</v>
      </c>
      <c r="H11" s="9">
        <v>12000.0</v>
      </c>
      <c r="I11" s="12">
        <f>+H11*D7</f>
        <v>26880000000</v>
      </c>
    </row>
    <row r="12" ht="14.25" customHeight="1"/>
    <row r="13" ht="14.25" customHeight="1">
      <c r="B13" s="13">
        <v>1.0</v>
      </c>
      <c r="C13" s="14"/>
      <c r="D13" s="15" t="s">
        <v>11</v>
      </c>
      <c r="E13" s="14"/>
      <c r="F13" s="16" t="s">
        <v>12</v>
      </c>
      <c r="G13" s="14"/>
      <c r="H13" s="16" t="s">
        <v>13</v>
      </c>
      <c r="I13" s="14"/>
    </row>
    <row r="14" ht="14.25" customHeight="1">
      <c r="B14" s="17"/>
      <c r="C14" s="18"/>
      <c r="D14" s="17"/>
      <c r="E14" s="18"/>
      <c r="F14" s="17"/>
      <c r="G14" s="18"/>
      <c r="H14" s="17"/>
      <c r="I14" s="18"/>
    </row>
    <row r="15" ht="14.25" customHeight="1">
      <c r="B15" s="19">
        <f>+B13*D4</f>
        <v>589183947.8</v>
      </c>
      <c r="C15" s="20"/>
      <c r="D15" s="19">
        <f>+D4*1</f>
        <v>589183947.8</v>
      </c>
      <c r="E15" s="20"/>
      <c r="F15" s="19">
        <f>+D4*5</f>
        <v>2945919739</v>
      </c>
      <c r="G15" s="20"/>
      <c r="H15" s="19">
        <f>+D4*25</f>
        <v>14729598696</v>
      </c>
      <c r="I15" s="20"/>
    </row>
    <row r="16" ht="14.25" customHeight="1">
      <c r="B16" s="17"/>
      <c r="C16" s="18"/>
      <c r="D16" s="19">
        <f>+D4*5</f>
        <v>2945919739</v>
      </c>
      <c r="E16" s="20"/>
      <c r="F16" s="19">
        <f>+D4*25</f>
        <v>14729598696</v>
      </c>
      <c r="G16" s="20"/>
      <c r="H16" s="19"/>
      <c r="I16" s="20"/>
    </row>
    <row r="17" ht="14.25" customHeight="1">
      <c r="B17" s="17"/>
      <c r="C17" s="18"/>
      <c r="D17" s="17"/>
      <c r="E17" s="18"/>
      <c r="F17" s="17"/>
      <c r="G17" s="18"/>
      <c r="H17" s="17"/>
      <c r="I17" s="18"/>
    </row>
    <row r="18" ht="14.25" customHeight="1">
      <c r="A18" s="16" t="s">
        <v>14</v>
      </c>
      <c r="B18" s="16">
        <v>0.14</v>
      </c>
      <c r="C18" s="21">
        <f>+B18*C11</f>
        <v>37632000</v>
      </c>
      <c r="D18" s="15">
        <v>0.095</v>
      </c>
      <c r="E18" s="21">
        <f>+D18*E11</f>
        <v>170240000</v>
      </c>
      <c r="F18" s="22">
        <v>0.06</v>
      </c>
      <c r="G18" s="21">
        <f>+F18*G11</f>
        <v>672000000</v>
      </c>
      <c r="H18" s="13">
        <v>0.025</v>
      </c>
      <c r="I18" s="21">
        <f>+H18*I11</f>
        <v>672000000</v>
      </c>
    </row>
    <row r="19" ht="14.25" customHeight="1">
      <c r="A19" s="17"/>
      <c r="B19" s="17"/>
      <c r="C19" s="20"/>
      <c r="D19" s="17"/>
      <c r="E19" s="20"/>
      <c r="F19" s="17"/>
      <c r="G19" s="20"/>
      <c r="H19" s="23"/>
      <c r="I19" s="20"/>
    </row>
    <row r="20" ht="14.25" customHeight="1">
      <c r="A20" s="17"/>
      <c r="B20" s="17"/>
      <c r="C20" s="24">
        <f>SUM(C18:C19)</f>
        <v>37632000</v>
      </c>
      <c r="D20" s="25"/>
      <c r="E20" s="24">
        <f>SUM(E18:E19)</f>
        <v>170240000</v>
      </c>
      <c r="F20" s="25"/>
      <c r="G20" s="24">
        <f>SUM(G18:G19)</f>
        <v>672000000</v>
      </c>
      <c r="H20" s="25"/>
      <c r="I20" s="24">
        <f>SUM(I18:I19)</f>
        <v>672000000</v>
      </c>
    </row>
    <row r="21" ht="14.25" customHeight="1">
      <c r="A21" s="26"/>
      <c r="B21" s="26"/>
      <c r="C21" s="27">
        <f>+C20/C11</f>
        <v>0.14</v>
      </c>
      <c r="D21" s="28"/>
      <c r="E21" s="27">
        <f>+E20/E11</f>
        <v>0.095</v>
      </c>
      <c r="F21" s="28"/>
      <c r="G21" s="27">
        <f>+G20/G11</f>
        <v>0.06</v>
      </c>
      <c r="H21" s="28"/>
      <c r="I21" s="27">
        <f>+I20/I11</f>
        <v>0.025</v>
      </c>
    </row>
    <row r="22" ht="14.25" customHeight="1"/>
    <row r="23" ht="14.25" customHeight="1"/>
    <row r="24" ht="14.25" customHeight="1">
      <c r="C24" s="29"/>
      <c r="D24" s="29"/>
      <c r="E24" s="29">
        <f>+E18/E11</f>
        <v>0.095</v>
      </c>
      <c r="F24" s="29"/>
      <c r="G24" s="29">
        <f>+G18/G11</f>
        <v>0.06</v>
      </c>
      <c r="H24" s="29"/>
      <c r="I24" s="29">
        <f>+I18/I11</f>
        <v>0.025</v>
      </c>
      <c r="J24" s="29"/>
      <c r="K24" s="29"/>
    </row>
    <row r="25" ht="14.25" customHeight="1">
      <c r="C25" s="29"/>
      <c r="D25" s="29"/>
      <c r="E25" s="29">
        <f>+E19/E11</f>
        <v>0</v>
      </c>
      <c r="F25" s="29"/>
      <c r="G25" s="29">
        <f>+G19/G11</f>
        <v>0</v>
      </c>
      <c r="H25" s="29"/>
      <c r="I25" s="29">
        <f>+I19/I11</f>
        <v>0</v>
      </c>
      <c r="J25" s="29"/>
      <c r="K25" s="2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10.71"/>
    <col customWidth="1" min="4" max="4" width="16.14"/>
    <col customWidth="1" min="5" max="5" width="15.29"/>
    <col customWidth="1" min="6" max="6" width="16.57"/>
    <col customWidth="1" min="7" max="7" width="14.57"/>
    <col customWidth="1" min="8" max="8" width="14.71"/>
    <col customWidth="1" min="9" max="9" width="15.14"/>
    <col customWidth="1" min="10" max="26" width="10.71"/>
  </cols>
  <sheetData>
    <row r="1" ht="14.25" customHeight="1"/>
    <row r="2" ht="14.25" customHeight="1">
      <c r="A2" s="1">
        <v>46128.0</v>
      </c>
      <c r="B2" s="2"/>
      <c r="C2" s="2" t="s">
        <v>0</v>
      </c>
      <c r="D2" s="2"/>
      <c r="E2" s="2"/>
      <c r="F2" s="2"/>
      <c r="G2" s="2"/>
      <c r="H2" s="2"/>
      <c r="I2" s="2"/>
    </row>
    <row r="3" ht="14.25" customHeight="1"/>
    <row r="4" ht="14.25" customHeight="1">
      <c r="C4" s="3" t="s">
        <v>1</v>
      </c>
      <c r="D4" s="30">
        <v>5.8918394783E8</v>
      </c>
      <c r="E4" s="7"/>
    </row>
    <row r="5" ht="14.25" customHeight="1">
      <c r="C5" s="6"/>
      <c r="D5" s="7"/>
      <c r="E5" s="7"/>
    </row>
    <row r="6" ht="14.25" customHeight="1">
      <c r="B6" s="8" t="s">
        <v>3</v>
      </c>
      <c r="C6" s="8" t="s">
        <v>4</v>
      </c>
      <c r="D6" s="7" t="s">
        <v>5</v>
      </c>
      <c r="E6" s="7"/>
    </row>
    <row r="7" ht="14.25" customHeight="1">
      <c r="A7" s="8" t="s">
        <v>6</v>
      </c>
      <c r="B7" s="31">
        <v>1600.0</v>
      </c>
      <c r="C7" s="8">
        <v>1400.0</v>
      </c>
      <c r="D7" s="12">
        <f>+C7*B7</f>
        <v>2240000</v>
      </c>
      <c r="E7" s="7"/>
      <c r="F7" s="10" t="s">
        <v>7</v>
      </c>
      <c r="G7" s="10"/>
      <c r="H7" s="10"/>
      <c r="I7" s="10"/>
      <c r="J7" s="10"/>
    </row>
    <row r="8" ht="14.25" customHeight="1">
      <c r="D8" s="7"/>
      <c r="E8" s="7"/>
    </row>
    <row r="9" ht="14.25" customHeight="1">
      <c r="D9" s="7"/>
      <c r="E9" s="7"/>
    </row>
    <row r="10" ht="14.25" customHeight="1">
      <c r="B10" s="6" t="s">
        <v>8</v>
      </c>
      <c r="C10" s="8" t="s">
        <v>9</v>
      </c>
      <c r="D10" s="6" t="s">
        <v>8</v>
      </c>
      <c r="E10" s="8" t="s">
        <v>9</v>
      </c>
      <c r="F10" s="6" t="s">
        <v>8</v>
      </c>
      <c r="G10" s="8" t="s">
        <v>9</v>
      </c>
      <c r="H10" s="6" t="s">
        <v>8</v>
      </c>
      <c r="I10" s="8" t="s">
        <v>9</v>
      </c>
    </row>
    <row r="11" ht="14.25" customHeight="1">
      <c r="A11" s="11" t="s">
        <v>10</v>
      </c>
      <c r="B11" s="12">
        <v>130.0</v>
      </c>
      <c r="C11" s="12">
        <f>+B11*D7</f>
        <v>291200000</v>
      </c>
      <c r="D11" s="12">
        <v>800.0</v>
      </c>
      <c r="E11" s="12">
        <f>+D11*D7</f>
        <v>1792000000</v>
      </c>
      <c r="F11" s="12">
        <v>5000.0</v>
      </c>
      <c r="G11" s="12">
        <f>+F11*D7</f>
        <v>11200000000</v>
      </c>
      <c r="H11" s="12">
        <v>12000.0</v>
      </c>
      <c r="I11" s="12">
        <f>+H11*D7</f>
        <v>26880000000</v>
      </c>
    </row>
    <row r="12" ht="14.25" customHeight="1"/>
    <row r="13" ht="14.25" customHeight="1">
      <c r="B13" s="32">
        <v>1.0</v>
      </c>
      <c r="C13" s="14"/>
      <c r="D13" s="16" t="s">
        <v>11</v>
      </c>
      <c r="E13" s="14"/>
      <c r="F13" s="16" t="s">
        <v>12</v>
      </c>
      <c r="G13" s="14"/>
      <c r="H13" s="16" t="s">
        <v>13</v>
      </c>
      <c r="I13" s="14"/>
    </row>
    <row r="14" ht="14.25" customHeight="1">
      <c r="B14" s="17"/>
      <c r="C14" s="18"/>
      <c r="D14" s="17"/>
      <c r="E14" s="18"/>
      <c r="F14" s="17"/>
      <c r="G14" s="18"/>
      <c r="H14" s="17"/>
      <c r="I14" s="18"/>
    </row>
    <row r="15" ht="14.25" customHeight="1">
      <c r="B15" s="19">
        <f>+B13*D4</f>
        <v>589183947.8</v>
      </c>
      <c r="C15" s="20"/>
      <c r="D15" s="19">
        <f>+D4*1</f>
        <v>589183947.8</v>
      </c>
      <c r="E15" s="20"/>
      <c r="F15" s="19">
        <f>+D4*5</f>
        <v>2945919739</v>
      </c>
      <c r="G15" s="20"/>
      <c r="H15" s="19">
        <f>+D4*25</f>
        <v>14729598696</v>
      </c>
      <c r="I15" s="20"/>
    </row>
    <row r="16" ht="14.25" customHeight="1">
      <c r="B16" s="17"/>
      <c r="C16" s="18"/>
      <c r="D16" s="19">
        <f>+D4*5</f>
        <v>2945919739</v>
      </c>
      <c r="E16" s="20"/>
      <c r="F16" s="19">
        <f>+D4*25</f>
        <v>14729598696</v>
      </c>
      <c r="G16" s="20"/>
      <c r="H16" s="19"/>
      <c r="I16" s="20"/>
    </row>
    <row r="17" ht="14.25" customHeight="1">
      <c r="B17" s="17"/>
      <c r="C17" s="18"/>
      <c r="D17" s="17"/>
      <c r="E17" s="18"/>
      <c r="F17" s="17"/>
      <c r="G17" s="18"/>
      <c r="H17" s="17"/>
      <c r="I17" s="18"/>
    </row>
    <row r="18" ht="14.25" customHeight="1">
      <c r="A18" s="16" t="s">
        <v>14</v>
      </c>
      <c r="B18" s="16">
        <v>0.14</v>
      </c>
      <c r="C18" s="21">
        <f>+B18*C11</f>
        <v>40768000</v>
      </c>
      <c r="D18" s="16">
        <v>0.08</v>
      </c>
      <c r="E18" s="21">
        <f>+D18*E11</f>
        <v>143360000</v>
      </c>
      <c r="F18" s="16">
        <v>0.035</v>
      </c>
      <c r="G18" s="21">
        <f>+F18*G11</f>
        <v>392000000</v>
      </c>
      <c r="H18" s="16">
        <v>0.02</v>
      </c>
      <c r="I18" s="21">
        <f>+H18*I11</f>
        <v>537600000</v>
      </c>
    </row>
    <row r="19" ht="14.25" customHeight="1">
      <c r="A19" s="17" t="s">
        <v>15</v>
      </c>
      <c r="B19" s="17"/>
      <c r="C19" s="20"/>
      <c r="D19" s="17">
        <v>0.03</v>
      </c>
      <c r="E19" s="20">
        <f>+D19*D4</f>
        <v>17675518.43</v>
      </c>
      <c r="F19" s="17">
        <v>0.13</v>
      </c>
      <c r="G19" s="20">
        <f>+F19*D4</f>
        <v>76593913.22</v>
      </c>
      <c r="H19" s="17">
        <v>0.4</v>
      </c>
      <c r="I19" s="20">
        <f>+H19*D4</f>
        <v>235673579.1</v>
      </c>
    </row>
    <row r="20" ht="14.25" customHeight="1">
      <c r="A20" s="17"/>
      <c r="B20" s="17"/>
      <c r="C20" s="24">
        <f>SUM(C18:C19)</f>
        <v>40768000</v>
      </c>
      <c r="D20" s="25"/>
      <c r="E20" s="24">
        <f>SUM(E18:E19)</f>
        <v>161035518.4</v>
      </c>
      <c r="F20" s="25"/>
      <c r="G20" s="24">
        <f>SUM(G18:G19)</f>
        <v>468593913.2</v>
      </c>
      <c r="H20" s="25"/>
      <c r="I20" s="24">
        <f>SUM(I18:I19)</f>
        <v>773273579.1</v>
      </c>
    </row>
    <row r="21" ht="14.25" customHeight="1">
      <c r="A21" s="26"/>
      <c r="B21" s="26"/>
      <c r="C21" s="27">
        <f>+C20/C11</f>
        <v>0.14</v>
      </c>
      <c r="D21" s="28"/>
      <c r="E21" s="27">
        <f>+E20/E11</f>
        <v>0.08986357056</v>
      </c>
      <c r="F21" s="28"/>
      <c r="G21" s="27">
        <f>+G20/G11</f>
        <v>0.04183874225</v>
      </c>
      <c r="H21" s="28"/>
      <c r="I21" s="27">
        <f>+I20/I11</f>
        <v>0.02876761827</v>
      </c>
    </row>
    <row r="22" ht="14.25" customHeight="1"/>
    <row r="23" ht="14.25" customHeight="1"/>
    <row r="24" ht="14.25" customHeight="1">
      <c r="C24" s="29"/>
      <c r="D24" s="29"/>
      <c r="E24" s="29">
        <f>+E18/E11</f>
        <v>0.08</v>
      </c>
      <c r="F24" s="29"/>
      <c r="G24" s="29">
        <f>+G18/G11</f>
        <v>0.035</v>
      </c>
      <c r="H24" s="29"/>
      <c r="I24" s="29">
        <f>+I18/I11</f>
        <v>0.02</v>
      </c>
      <c r="J24" s="29"/>
      <c r="K24" s="29"/>
    </row>
    <row r="25" ht="14.25" customHeight="1">
      <c r="C25" s="29"/>
      <c r="D25" s="29"/>
      <c r="E25" s="29">
        <f>+E19/E11</f>
        <v>0.009863570555</v>
      </c>
      <c r="F25" s="29"/>
      <c r="G25" s="29">
        <f>+G19/G11</f>
        <v>0.006838742252</v>
      </c>
      <c r="H25" s="29"/>
      <c r="I25" s="29">
        <f>+I19/I11</f>
        <v>0.008767618271</v>
      </c>
      <c r="J25" s="29"/>
      <c r="K25" s="29"/>
    </row>
    <row r="26" ht="14.25" customHeight="1">
      <c r="B26" s="31"/>
      <c r="C26" s="33">
        <f>+C21*0.6</f>
        <v>0.084</v>
      </c>
      <c r="D26" s="33"/>
      <c r="E26" s="33">
        <f>+E21*0.6</f>
        <v>0.05391814233</v>
      </c>
      <c r="F26" s="33"/>
      <c r="G26" s="33">
        <f>+G21*0.6</f>
        <v>0.02510324535</v>
      </c>
      <c r="H26" s="33"/>
      <c r="I26" s="33">
        <f>+I21*0.6</f>
        <v>0.01726057096</v>
      </c>
      <c r="J26" s="31"/>
    </row>
    <row r="27" ht="14.25" customHeight="1">
      <c r="B27" s="31"/>
      <c r="C27" s="33">
        <f>+C21*0.4</f>
        <v>0.056</v>
      </c>
      <c r="D27" s="33"/>
      <c r="E27" s="33">
        <f>+E21*0.4</f>
        <v>0.03594542822</v>
      </c>
      <c r="F27" s="33"/>
      <c r="G27" s="33">
        <f>+G21*0.4</f>
        <v>0.0167354969</v>
      </c>
      <c r="H27" s="33"/>
      <c r="I27" s="33">
        <f>+I21*0.4</f>
        <v>0.01150704731</v>
      </c>
      <c r="J27" s="31"/>
    </row>
    <row r="28" ht="14.25" customHeight="1"/>
    <row r="29" ht="14.25" customHeight="1">
      <c r="C29" s="34"/>
      <c r="I29" s="34"/>
    </row>
    <row r="30" ht="14.25" customHeight="1">
      <c r="I30" s="3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1.71"/>
    <col customWidth="1" min="3" max="3" width="15.71"/>
    <col customWidth="1" min="4" max="4" width="15.29"/>
    <col customWidth="1" min="5" max="5" width="14.71"/>
    <col customWidth="1" min="6" max="6" width="14.43"/>
    <col customWidth="1" min="7" max="7" width="14.29"/>
    <col customWidth="1" min="8" max="8" width="14.57"/>
    <col customWidth="1" min="9" max="9" width="15.0"/>
    <col customWidth="1" min="10" max="26" width="10.71"/>
  </cols>
  <sheetData>
    <row r="1" ht="14.25" customHeight="1">
      <c r="A1" s="35" t="s">
        <v>16</v>
      </c>
      <c r="B1" s="35"/>
      <c r="C1" s="35"/>
      <c r="D1" s="35"/>
      <c r="E1" s="35" t="s">
        <v>17</v>
      </c>
      <c r="F1" s="35"/>
      <c r="G1" s="35" t="s">
        <v>18</v>
      </c>
      <c r="H1" s="35"/>
      <c r="I1" s="35"/>
    </row>
    <row r="2" ht="14.25" customHeight="1"/>
    <row r="3" ht="14.25" customHeight="1">
      <c r="C3" s="3" t="s">
        <v>1</v>
      </c>
      <c r="D3" s="4">
        <v>5.8918394783E8</v>
      </c>
      <c r="E3" s="7"/>
    </row>
    <row r="4" ht="14.25" customHeight="1">
      <c r="C4" s="6"/>
      <c r="D4" s="7"/>
      <c r="E4" s="7"/>
    </row>
    <row r="5" ht="14.25" customHeight="1">
      <c r="B5" s="8" t="s">
        <v>3</v>
      </c>
      <c r="C5" s="8" t="s">
        <v>4</v>
      </c>
      <c r="D5" s="7" t="s">
        <v>5</v>
      </c>
      <c r="E5" s="7"/>
    </row>
    <row r="6" ht="14.25" customHeight="1">
      <c r="A6" s="8" t="s">
        <v>6</v>
      </c>
      <c r="B6" s="8">
        <v>1500.0</v>
      </c>
      <c r="C6" s="8">
        <v>1410.0</v>
      </c>
      <c r="D6" s="9">
        <v>2240000.0</v>
      </c>
      <c r="E6" s="7"/>
    </row>
    <row r="7" ht="14.25" customHeight="1">
      <c r="D7" s="7"/>
      <c r="E7" s="7"/>
    </row>
    <row r="8" ht="14.25" customHeight="1">
      <c r="B8" s="6" t="s">
        <v>8</v>
      </c>
      <c r="C8" s="8" t="s">
        <v>9</v>
      </c>
      <c r="D8" s="6" t="s">
        <v>8</v>
      </c>
      <c r="E8" s="8" t="s">
        <v>9</v>
      </c>
      <c r="F8" s="6" t="s">
        <v>8</v>
      </c>
      <c r="G8" s="8" t="s">
        <v>9</v>
      </c>
      <c r="H8" s="6" t="s">
        <v>8</v>
      </c>
      <c r="I8" s="8" t="s">
        <v>9</v>
      </c>
    </row>
    <row r="9" ht="14.25" customHeight="1">
      <c r="A9" s="8" t="s">
        <v>10</v>
      </c>
      <c r="B9" s="34">
        <v>120.0</v>
      </c>
      <c r="C9" s="34">
        <f>+B9*D6</f>
        <v>268800000</v>
      </c>
      <c r="D9" s="34">
        <v>800.0</v>
      </c>
      <c r="E9" s="34">
        <f>+D9*D6</f>
        <v>1792000000</v>
      </c>
      <c r="F9" s="34">
        <v>2000.0</v>
      </c>
      <c r="G9" s="34">
        <f>+F9*D6</f>
        <v>4480000000</v>
      </c>
      <c r="H9" s="34">
        <v>10000.0</v>
      </c>
      <c r="I9" s="34">
        <f>+H9*D6</f>
        <v>22400000000</v>
      </c>
    </row>
    <row r="10" ht="14.25" customHeight="1"/>
    <row r="11" ht="14.25" customHeight="1">
      <c r="A11" s="36"/>
      <c r="C11" s="8" t="s">
        <v>19</v>
      </c>
      <c r="D11" s="8" t="s">
        <v>20</v>
      </c>
      <c r="G11" s="8" t="s">
        <v>21</v>
      </c>
      <c r="I11" s="8" t="s">
        <v>22</v>
      </c>
    </row>
    <row r="12" ht="14.25" customHeight="1">
      <c r="A12" s="36"/>
    </row>
    <row r="13" ht="14.25" customHeight="1">
      <c r="A13" s="11" t="s">
        <v>23</v>
      </c>
      <c r="B13" s="12">
        <v>111.0</v>
      </c>
      <c r="C13" s="12">
        <f>+B13*D6</f>
        <v>248640000</v>
      </c>
      <c r="D13" s="12">
        <v>800.0</v>
      </c>
      <c r="E13" s="12">
        <f>+D13*D6</f>
        <v>1792000000</v>
      </c>
      <c r="F13" s="9">
        <v>5000.0</v>
      </c>
      <c r="G13" s="12">
        <f>+F13*D6</f>
        <v>11200000000</v>
      </c>
      <c r="H13" s="9">
        <v>12000.0</v>
      </c>
      <c r="I13" s="37">
        <f>+H13*D6</f>
        <v>26880000000</v>
      </c>
      <c r="J13" s="34"/>
    </row>
    <row r="14" ht="14.25" customHeight="1">
      <c r="B14" s="34"/>
      <c r="C14" s="34"/>
      <c r="D14" s="34"/>
      <c r="E14" s="34"/>
      <c r="F14" s="34"/>
      <c r="G14" s="34"/>
      <c r="H14" s="34"/>
      <c r="I14" s="34"/>
      <c r="J14" s="34"/>
    </row>
    <row r="15" ht="14.25" customHeight="1"/>
    <row r="16" ht="14.25" customHeight="1">
      <c r="B16" s="15">
        <v>1.0</v>
      </c>
      <c r="C16" s="14"/>
      <c r="D16" s="15" t="s">
        <v>11</v>
      </c>
      <c r="E16" s="14"/>
      <c r="F16" s="16" t="s">
        <v>12</v>
      </c>
      <c r="G16" s="14"/>
      <c r="H16" s="16" t="s">
        <v>13</v>
      </c>
      <c r="I16" s="14"/>
    </row>
    <row r="17" ht="14.25" customHeight="1">
      <c r="B17" s="38">
        <f>+B16*D3</f>
        <v>589183947.8</v>
      </c>
      <c r="C17" s="20"/>
      <c r="D17" s="38">
        <f>+D3*1</f>
        <v>589183947.8</v>
      </c>
      <c r="E17" s="20"/>
      <c r="F17" s="38">
        <f>+D3*5</f>
        <v>2945919739</v>
      </c>
      <c r="G17" s="20"/>
      <c r="H17" s="38">
        <f>+D3*25</f>
        <v>14729598696</v>
      </c>
      <c r="I17" s="20"/>
    </row>
    <row r="18" ht="14.25" customHeight="1">
      <c r="B18" s="17"/>
      <c r="C18" s="18"/>
      <c r="D18" s="38">
        <f>+D3*5</f>
        <v>2945919739</v>
      </c>
      <c r="E18" s="20"/>
      <c r="F18" s="38">
        <f>+D3*25</f>
        <v>14729598696</v>
      </c>
      <c r="G18" s="20"/>
      <c r="H18" s="19"/>
      <c r="I18" s="20"/>
    </row>
    <row r="19" ht="14.25" customHeight="1">
      <c r="B19" s="17"/>
      <c r="C19" s="18"/>
      <c r="D19" s="17"/>
      <c r="E19" s="18"/>
      <c r="F19" s="17"/>
      <c r="G19" s="18"/>
      <c r="H19" s="17"/>
      <c r="I19" s="18"/>
    </row>
    <row r="20" ht="14.25" customHeight="1">
      <c r="A20" s="39" t="s">
        <v>24</v>
      </c>
      <c r="B20" s="40">
        <v>0.004</v>
      </c>
      <c r="C20" s="41">
        <f>+B20*$B$17</f>
        <v>2356735.791</v>
      </c>
      <c r="D20" s="16">
        <v>0.0014</v>
      </c>
      <c r="E20" s="41">
        <f>+D20*($D$18-$D$17)</f>
        <v>3299430.108</v>
      </c>
      <c r="F20" s="16">
        <v>0.0012</v>
      </c>
      <c r="G20" s="41">
        <f>+F20*($F$18-$F$17)</f>
        <v>14140414.75</v>
      </c>
      <c r="H20" s="16">
        <v>5.0E-4</v>
      </c>
      <c r="I20" s="41">
        <f>+H20*($I$13-$F$18)</f>
        <v>6075200.652</v>
      </c>
      <c r="K20" s="42">
        <f>C20+E20+G20+I20</f>
        <v>25871781.3</v>
      </c>
      <c r="L20" s="43" t="s">
        <v>25</v>
      </c>
    </row>
    <row r="21" ht="14.25" customHeight="1">
      <c r="A21" s="39" t="s">
        <v>26</v>
      </c>
      <c r="B21" s="44"/>
      <c r="C21" s="45">
        <f>+C20/C13</f>
        <v>0.009478506239</v>
      </c>
      <c r="D21" s="46"/>
      <c r="E21" s="45">
        <f>+E20/E13</f>
        <v>0.001841199837</v>
      </c>
      <c r="F21" s="47"/>
      <c r="G21" s="45">
        <f>+G20/G13</f>
        <v>0.001262537031</v>
      </c>
      <c r="H21" s="47"/>
      <c r="I21" s="45">
        <f>+I20/I13</f>
        <v>0.000226011929</v>
      </c>
    </row>
    <row r="22" ht="14.25" customHeight="1"/>
    <row r="23" ht="14.25" customHeight="1">
      <c r="A23" s="36"/>
      <c r="B23" s="40">
        <v>0.001</v>
      </c>
      <c r="C23" s="41">
        <f>+B23*$B$17</f>
        <v>589183.9478</v>
      </c>
      <c r="D23" s="16">
        <v>7.0E-4</v>
      </c>
      <c r="E23" s="41">
        <f>+D23*($D$18-$D$17)</f>
        <v>1649715.054</v>
      </c>
      <c r="F23" s="16">
        <v>6.0E-4</v>
      </c>
      <c r="G23" s="41">
        <f>+F23*($F$18-$F$17)</f>
        <v>7070207.374</v>
      </c>
      <c r="H23" s="16">
        <v>2.5E-4</v>
      </c>
      <c r="I23" s="41">
        <f>+H23*($I$13-$F$18)</f>
        <v>3037600.326</v>
      </c>
      <c r="K23" s="42">
        <f>C23+E23+G23+I23</f>
        <v>12346706.7</v>
      </c>
      <c r="L23" s="43" t="s">
        <v>25</v>
      </c>
    </row>
    <row r="24" ht="14.25" customHeight="1">
      <c r="A24" s="39" t="s">
        <v>27</v>
      </c>
      <c r="B24" s="44"/>
      <c r="C24" s="45">
        <f>+C23/C13</f>
        <v>0.00236962656</v>
      </c>
      <c r="D24" s="46"/>
      <c r="E24" s="45">
        <f>+E23/E13</f>
        <v>0.0009205999185</v>
      </c>
      <c r="F24" s="47"/>
      <c r="G24" s="45">
        <f>+G23/G13</f>
        <v>0.0006312685155</v>
      </c>
      <c r="H24" s="47"/>
      <c r="I24" s="45">
        <f>+I23/I13</f>
        <v>0.0001130059645</v>
      </c>
    </row>
    <row r="25" ht="14.25" customHeight="1"/>
    <row r="26" ht="14.25" customHeight="1">
      <c r="A26" s="36"/>
      <c r="B26" s="40">
        <v>0.001</v>
      </c>
      <c r="C26" s="41">
        <f>+B26*$B$17</f>
        <v>589183.9478</v>
      </c>
      <c r="D26" s="16">
        <v>7.0E-4</v>
      </c>
      <c r="E26" s="41">
        <f>+D26*($D$18-$D$17)</f>
        <v>1649715.054</v>
      </c>
      <c r="F26" s="16">
        <v>6.0E-4</v>
      </c>
      <c r="G26" s="41">
        <f>+F26*($F$18-$F$17)</f>
        <v>7070207.374</v>
      </c>
      <c r="H26" s="16">
        <v>2.5E-4</v>
      </c>
      <c r="I26" s="41">
        <f>+H26*($I$13-$F$18)</f>
        <v>3037600.326</v>
      </c>
      <c r="K26" s="42">
        <f>C26+E26+G26+I26</f>
        <v>12346706.7</v>
      </c>
      <c r="L26" s="43" t="s">
        <v>25</v>
      </c>
    </row>
    <row r="27" ht="14.25" customHeight="1">
      <c r="A27" s="39" t="s">
        <v>28</v>
      </c>
      <c r="B27" s="44"/>
      <c r="C27" s="45">
        <f>+C26/C13</f>
        <v>0.00236962656</v>
      </c>
      <c r="D27" s="46"/>
      <c r="E27" s="45">
        <f>+E26/E13</f>
        <v>0.0009205999185</v>
      </c>
      <c r="F27" s="47"/>
      <c r="G27" s="45">
        <f>+G26/G13</f>
        <v>0.0006312685155</v>
      </c>
      <c r="H27" s="47"/>
      <c r="I27" s="45">
        <f>+I26/I13</f>
        <v>0.0001130059645</v>
      </c>
    </row>
    <row r="28" ht="14.25" customHeight="1"/>
    <row r="29" ht="14.25" customHeight="1">
      <c r="A29" s="36"/>
      <c r="B29" s="40">
        <v>0.006</v>
      </c>
      <c r="C29" s="41">
        <f>+B29*$B$17</f>
        <v>3535103.687</v>
      </c>
      <c r="D29" s="16">
        <v>0.0028</v>
      </c>
      <c r="E29" s="41">
        <f>+D29*($D$18-$D$17)</f>
        <v>6598860.216</v>
      </c>
      <c r="F29" s="16">
        <v>0.0021</v>
      </c>
      <c r="G29" s="41">
        <f>+F29*($F$18-$F$17)</f>
        <v>24745725.81</v>
      </c>
      <c r="H29" s="16">
        <v>0.0016</v>
      </c>
      <c r="I29" s="41">
        <f>+H29*($I$13-$F$18)</f>
        <v>19440642.09</v>
      </c>
      <c r="K29" s="42">
        <f>C29+E29+G29+I29</f>
        <v>54320331.8</v>
      </c>
      <c r="L29" s="43" t="s">
        <v>25</v>
      </c>
    </row>
    <row r="30" ht="14.25" customHeight="1">
      <c r="A30" s="39" t="s">
        <v>29</v>
      </c>
      <c r="B30" s="44"/>
      <c r="C30" s="45">
        <f>+C29/C13</f>
        <v>0.01421775936</v>
      </c>
      <c r="D30" s="46"/>
      <c r="E30" s="45">
        <f>+E29/E13</f>
        <v>0.003682399674</v>
      </c>
      <c r="F30" s="47"/>
      <c r="G30" s="45">
        <f>+G29/G13</f>
        <v>0.002209439804</v>
      </c>
      <c r="H30" s="47"/>
      <c r="I30" s="45">
        <f>+I29/I13</f>
        <v>0.0007232381729</v>
      </c>
    </row>
    <row r="31" ht="14.25" customHeight="1"/>
    <row r="32" ht="14.25" customHeight="1"/>
    <row r="33" ht="14.25" customHeight="1">
      <c r="C33" s="48" t="s">
        <v>30</v>
      </c>
      <c r="D33" s="49"/>
      <c r="E33" s="48" t="s">
        <v>31</v>
      </c>
      <c r="F33" s="49"/>
      <c r="G33" s="48" t="s">
        <v>31</v>
      </c>
      <c r="H33" s="49"/>
      <c r="I33" s="48" t="s">
        <v>32</v>
      </c>
      <c r="K33" s="50" t="s">
        <v>33</v>
      </c>
    </row>
    <row r="34" ht="14.25" customHeight="1">
      <c r="D34" s="49"/>
      <c r="F34" s="49"/>
      <c r="H34" s="49"/>
    </row>
    <row r="35" ht="14.25" customHeight="1">
      <c r="D35" s="49"/>
      <c r="F35" s="49"/>
      <c r="H35" s="49"/>
    </row>
    <row r="36" ht="14.25" customHeight="1">
      <c r="D36" s="49"/>
      <c r="F36" s="49"/>
      <c r="H36" s="49"/>
    </row>
    <row r="37" ht="14.25" customHeight="1"/>
    <row r="38" ht="14.25" customHeight="1"/>
    <row r="39" ht="14.25" customHeight="1">
      <c r="C39" s="48" t="s">
        <v>30</v>
      </c>
      <c r="D39" s="49"/>
      <c r="E39" s="48" t="s">
        <v>31</v>
      </c>
      <c r="F39" s="49"/>
      <c r="G39" s="48" t="s">
        <v>32</v>
      </c>
      <c r="H39" s="49"/>
      <c r="I39" s="51"/>
      <c r="K39" s="50" t="s">
        <v>34</v>
      </c>
    </row>
    <row r="40" ht="14.25" customHeight="1">
      <c r="D40" s="49"/>
      <c r="F40" s="49"/>
      <c r="H40" s="49"/>
      <c r="I40" s="51"/>
    </row>
    <row r="41" ht="14.25" customHeight="1">
      <c r="D41" s="49"/>
      <c r="F41" s="49"/>
      <c r="H41" s="49"/>
      <c r="I41" s="51"/>
    </row>
    <row r="42" ht="14.25" customHeight="1">
      <c r="D42" s="49"/>
      <c r="F42" s="49"/>
      <c r="H42" s="49"/>
      <c r="I42" s="51"/>
    </row>
    <row r="43" ht="14.25" customHeight="1"/>
    <row r="44" ht="14.25" customHeight="1"/>
    <row r="45" ht="14.25" customHeight="1">
      <c r="C45" s="48" t="s">
        <v>30</v>
      </c>
      <c r="D45" s="49"/>
      <c r="E45" s="48" t="s">
        <v>32</v>
      </c>
      <c r="F45" s="49"/>
      <c r="G45" s="51"/>
      <c r="H45" s="49"/>
      <c r="I45" s="51"/>
      <c r="K45" s="50" t="s">
        <v>35</v>
      </c>
    </row>
    <row r="46" ht="14.25" customHeight="1">
      <c r="D46" s="49"/>
      <c r="F46" s="49"/>
      <c r="G46" s="51"/>
      <c r="H46" s="49"/>
      <c r="I46" s="51"/>
    </row>
    <row r="47" ht="14.25" customHeight="1">
      <c r="D47" s="49"/>
      <c r="F47" s="49"/>
      <c r="G47" s="51"/>
      <c r="H47" s="49"/>
      <c r="I47" s="51"/>
    </row>
    <row r="48" ht="14.25" customHeight="1">
      <c r="D48" s="49"/>
      <c r="F48" s="49"/>
      <c r="G48" s="51"/>
      <c r="H48" s="49"/>
      <c r="I48" s="51"/>
    </row>
    <row r="49" ht="14.25" customHeight="1"/>
    <row r="50" ht="14.25" customHeight="1"/>
    <row r="51" ht="14.25" customHeight="1">
      <c r="C51" s="48" t="s">
        <v>36</v>
      </c>
      <c r="D51" s="49"/>
      <c r="E51" s="51"/>
      <c r="F51" s="49"/>
      <c r="G51" s="51"/>
      <c r="H51" s="49"/>
      <c r="I51" s="51"/>
      <c r="K51" s="50" t="s">
        <v>37</v>
      </c>
    </row>
    <row r="52" ht="14.25" customHeight="1">
      <c r="D52" s="49"/>
      <c r="E52" s="51"/>
      <c r="F52" s="49"/>
      <c r="G52" s="51"/>
      <c r="H52" s="49"/>
      <c r="I52" s="51"/>
    </row>
    <row r="53" ht="14.25" customHeight="1">
      <c r="D53" s="49"/>
      <c r="E53" s="51"/>
      <c r="F53" s="49"/>
      <c r="G53" s="51"/>
      <c r="H53" s="49"/>
      <c r="I53" s="51"/>
    </row>
    <row r="54" ht="14.25" customHeight="1">
      <c r="D54" s="49"/>
      <c r="E54" s="51"/>
      <c r="F54" s="49"/>
      <c r="G54" s="51"/>
      <c r="H54" s="49"/>
      <c r="I54" s="51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K33:L36"/>
    <mergeCell ref="K39:L42"/>
    <mergeCell ref="K45:L48"/>
    <mergeCell ref="K51:L54"/>
    <mergeCell ref="E39:E42"/>
    <mergeCell ref="E45:E48"/>
    <mergeCell ref="C51:C54"/>
    <mergeCell ref="C33:C36"/>
    <mergeCell ref="E33:E36"/>
    <mergeCell ref="G33:G36"/>
    <mergeCell ref="I33:I36"/>
    <mergeCell ref="C39:C42"/>
    <mergeCell ref="G39:G42"/>
    <mergeCell ref="C45:C4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3" width="15.71"/>
    <col customWidth="1" min="4" max="4" width="15.29"/>
    <col customWidth="1" min="5" max="5" width="14.71"/>
    <col customWidth="1" min="6" max="6" width="14.43"/>
    <col customWidth="1" min="7" max="7" width="14.29"/>
    <col customWidth="1" min="8" max="8" width="14.57"/>
    <col customWidth="1" min="9" max="9" width="15.0"/>
    <col customWidth="1" min="10" max="26" width="10.71"/>
  </cols>
  <sheetData>
    <row r="1" ht="14.25" customHeight="1">
      <c r="A1" s="35" t="s">
        <v>16</v>
      </c>
      <c r="B1" s="35"/>
      <c r="C1" s="35"/>
      <c r="D1" s="35"/>
      <c r="E1" s="52">
        <v>46139.0</v>
      </c>
      <c r="F1" s="35"/>
      <c r="G1" s="35" t="s">
        <v>18</v>
      </c>
      <c r="H1" s="35"/>
      <c r="I1" s="35"/>
    </row>
    <row r="2" ht="14.25" customHeight="1"/>
    <row r="3" ht="14.25" customHeight="1">
      <c r="C3" s="3" t="s">
        <v>1</v>
      </c>
      <c r="D3" s="30">
        <v>5.8918394783E8</v>
      </c>
      <c r="E3" s="7"/>
    </row>
    <row r="4" ht="14.25" customHeight="1">
      <c r="C4" s="6"/>
      <c r="D4" s="7"/>
      <c r="E4" s="7"/>
    </row>
    <row r="5" ht="14.25" customHeight="1">
      <c r="B5" s="8" t="s">
        <v>3</v>
      </c>
      <c r="C5" s="8" t="s">
        <v>4</v>
      </c>
      <c r="D5" s="7" t="s">
        <v>5</v>
      </c>
      <c r="E5" s="7"/>
    </row>
    <row r="6" ht="14.25" customHeight="1">
      <c r="A6" s="8" t="s">
        <v>6</v>
      </c>
      <c r="B6" s="8">
        <v>1600.0</v>
      </c>
      <c r="C6" s="8">
        <v>1400.0</v>
      </c>
      <c r="D6" s="12">
        <f>+C6*B6</f>
        <v>2240000</v>
      </c>
      <c r="E6" s="7"/>
    </row>
    <row r="7" ht="14.25" customHeight="1">
      <c r="D7" s="7"/>
      <c r="E7" s="7"/>
    </row>
    <row r="8" ht="14.25" customHeight="1">
      <c r="B8" s="6" t="s">
        <v>8</v>
      </c>
      <c r="C8" s="8" t="s">
        <v>9</v>
      </c>
      <c r="D8" s="6" t="s">
        <v>8</v>
      </c>
      <c r="E8" s="8" t="s">
        <v>9</v>
      </c>
      <c r="F8" s="6" t="s">
        <v>8</v>
      </c>
      <c r="G8" s="8" t="s">
        <v>9</v>
      </c>
      <c r="H8" s="6" t="s">
        <v>8</v>
      </c>
      <c r="I8" s="8" t="s">
        <v>9</v>
      </c>
    </row>
    <row r="9" ht="14.25" customHeight="1">
      <c r="A9" s="8" t="s">
        <v>10</v>
      </c>
      <c r="B9" s="34">
        <v>120.0</v>
      </c>
      <c r="C9" s="34">
        <f>+B9*D6</f>
        <v>268800000</v>
      </c>
      <c r="D9" s="34">
        <v>800.0</v>
      </c>
      <c r="E9" s="34">
        <f>+D9*D6</f>
        <v>1792000000</v>
      </c>
      <c r="F9" s="34">
        <v>2000.0</v>
      </c>
      <c r="G9" s="34">
        <f>+F9*D6</f>
        <v>4480000000</v>
      </c>
      <c r="H9" s="34">
        <v>10000.0</v>
      </c>
      <c r="I9" s="34">
        <f>+H9*D6</f>
        <v>22400000000</v>
      </c>
    </row>
    <row r="10" ht="14.25" customHeight="1"/>
    <row r="11" ht="14.25" customHeight="1">
      <c r="A11" s="36"/>
      <c r="C11" s="8" t="s">
        <v>19</v>
      </c>
      <c r="D11" s="8" t="s">
        <v>20</v>
      </c>
      <c r="G11" s="8" t="s">
        <v>21</v>
      </c>
      <c r="I11" s="8" t="s">
        <v>22</v>
      </c>
    </row>
    <row r="12" ht="14.25" customHeight="1">
      <c r="A12" s="36"/>
    </row>
    <row r="13" ht="14.25" customHeight="1">
      <c r="A13" s="11" t="s">
        <v>23</v>
      </c>
      <c r="B13" s="12">
        <v>120.0</v>
      </c>
      <c r="C13" s="12">
        <f>+B13*D6</f>
        <v>268800000</v>
      </c>
      <c r="D13" s="12">
        <v>800.0</v>
      </c>
      <c r="E13" s="12">
        <f>+D13*D6</f>
        <v>1792000000</v>
      </c>
      <c r="F13" s="12">
        <v>5000.0</v>
      </c>
      <c r="G13" s="12">
        <f>+F13*D6</f>
        <v>11200000000</v>
      </c>
      <c r="H13" s="12">
        <v>12000.0</v>
      </c>
      <c r="I13" s="12">
        <f>+H13*D6</f>
        <v>26880000000</v>
      </c>
      <c r="J13" s="34"/>
    </row>
    <row r="14" ht="14.25" customHeight="1">
      <c r="B14" s="34"/>
      <c r="C14" s="34"/>
      <c r="D14" s="34"/>
      <c r="E14" s="34"/>
      <c r="F14" s="34"/>
      <c r="G14" s="34"/>
      <c r="H14" s="34"/>
      <c r="I14" s="34"/>
      <c r="J14" s="34"/>
    </row>
    <row r="15" ht="14.25" customHeight="1"/>
    <row r="16" ht="14.25" customHeight="1">
      <c r="B16" s="16">
        <v>0.5</v>
      </c>
      <c r="C16" s="14"/>
      <c r="D16" s="16" t="s">
        <v>38</v>
      </c>
      <c r="E16" s="14"/>
      <c r="F16" s="16" t="s">
        <v>12</v>
      </c>
      <c r="G16" s="14"/>
      <c r="H16" s="16" t="s">
        <v>13</v>
      </c>
      <c r="I16" s="14"/>
    </row>
    <row r="17" ht="14.25" customHeight="1">
      <c r="B17" s="19">
        <f>+B16*D3</f>
        <v>294591973.9</v>
      </c>
      <c r="C17" s="20"/>
      <c r="D17" s="19">
        <f>+D3*0.5</f>
        <v>294591973.9</v>
      </c>
      <c r="E17" s="20"/>
      <c r="F17" s="19">
        <f>+D3*5</f>
        <v>2945919739</v>
      </c>
      <c r="G17" s="20"/>
      <c r="H17" s="19">
        <f>+D3*25</f>
        <v>14729598696</v>
      </c>
      <c r="I17" s="20"/>
    </row>
    <row r="18" ht="14.25" customHeight="1">
      <c r="B18" s="17"/>
      <c r="C18" s="18"/>
      <c r="D18" s="19">
        <f>+D3*5</f>
        <v>2945919739</v>
      </c>
      <c r="E18" s="20"/>
      <c r="F18" s="19">
        <f>+D3*25</f>
        <v>14729598696</v>
      </c>
      <c r="G18" s="20"/>
      <c r="H18" s="19"/>
      <c r="I18" s="20"/>
    </row>
    <row r="19" ht="14.25" customHeight="1">
      <c r="B19" s="17"/>
      <c r="C19" s="18"/>
      <c r="D19" s="17"/>
      <c r="E19" s="18"/>
      <c r="F19" s="17"/>
      <c r="G19" s="18"/>
      <c r="H19" s="17"/>
      <c r="I19" s="18"/>
    </row>
    <row r="20" ht="14.25" customHeight="1">
      <c r="A20" s="39" t="s">
        <v>24</v>
      </c>
      <c r="B20" s="40">
        <v>0.004</v>
      </c>
      <c r="C20" s="21">
        <f>+B20*C13</f>
        <v>1075200</v>
      </c>
      <c r="D20" s="16">
        <v>0.0014</v>
      </c>
      <c r="E20" s="21">
        <f>+D20*E13</f>
        <v>2508800</v>
      </c>
      <c r="F20" s="16">
        <v>0.0012</v>
      </c>
      <c r="G20" s="21">
        <f>+F20*G13</f>
        <v>13440000</v>
      </c>
      <c r="H20" s="16">
        <v>5.0E-4</v>
      </c>
      <c r="I20" s="21">
        <f>+H20*I13</f>
        <v>13440000</v>
      </c>
    </row>
    <row r="21" ht="14.25" customHeight="1">
      <c r="A21" s="39" t="s">
        <v>26</v>
      </c>
      <c r="B21" s="44"/>
      <c r="C21" s="45">
        <f>+C20/C13</f>
        <v>0.004</v>
      </c>
      <c r="D21" s="46"/>
      <c r="E21" s="45">
        <f>+E20/E13</f>
        <v>0.0014</v>
      </c>
      <c r="F21" s="47"/>
      <c r="G21" s="45">
        <f>+G20/G13</f>
        <v>0.0012</v>
      </c>
      <c r="H21" s="47"/>
      <c r="I21" s="45">
        <f>+I20/I13</f>
        <v>0.0005</v>
      </c>
    </row>
    <row r="22" ht="14.25" customHeight="1"/>
    <row r="23" ht="14.25" customHeight="1">
      <c r="A23" s="36"/>
      <c r="B23" s="40">
        <v>0.001</v>
      </c>
      <c r="C23" s="21">
        <f>+B23*C13</f>
        <v>268800</v>
      </c>
      <c r="D23" s="16">
        <v>7.0E-4</v>
      </c>
      <c r="E23" s="21">
        <f>+D23*E13</f>
        <v>1254400</v>
      </c>
      <c r="F23" s="16">
        <v>6.0E-4</v>
      </c>
      <c r="G23" s="21">
        <f>+F23*G13</f>
        <v>6720000</v>
      </c>
      <c r="H23" s="16">
        <v>2.5E-4</v>
      </c>
      <c r="I23" s="21">
        <f>+H23*I13</f>
        <v>6720000</v>
      </c>
    </row>
    <row r="24" ht="14.25" customHeight="1">
      <c r="A24" s="39" t="s">
        <v>27</v>
      </c>
      <c r="B24" s="44"/>
      <c r="C24" s="45">
        <f>+C23/C13</f>
        <v>0.001</v>
      </c>
      <c r="D24" s="46"/>
      <c r="E24" s="45">
        <f>+E23/E13</f>
        <v>0.0007</v>
      </c>
      <c r="F24" s="47"/>
      <c r="G24" s="45">
        <f>+G23/G13</f>
        <v>0.0006</v>
      </c>
      <c r="H24" s="47"/>
      <c r="I24" s="45">
        <f>+I23/I13</f>
        <v>0.00025</v>
      </c>
    </row>
    <row r="25" ht="14.25" customHeight="1"/>
    <row r="26" ht="14.25" customHeight="1">
      <c r="A26" s="36"/>
      <c r="B26" s="40">
        <v>0.001</v>
      </c>
      <c r="C26" s="21">
        <f>+B26*C13</f>
        <v>268800</v>
      </c>
      <c r="D26" s="16">
        <v>7.0E-4</v>
      </c>
      <c r="E26" s="21">
        <f>+D26*E13</f>
        <v>1254400</v>
      </c>
      <c r="F26" s="16">
        <v>6.0E-4</v>
      </c>
      <c r="G26" s="21">
        <f>+F26*G13</f>
        <v>6720000</v>
      </c>
      <c r="H26" s="16">
        <v>2.5E-4</v>
      </c>
      <c r="I26" s="21">
        <f>+H26*I13</f>
        <v>6720000</v>
      </c>
    </row>
    <row r="27" ht="14.25" customHeight="1">
      <c r="A27" s="39" t="s">
        <v>28</v>
      </c>
      <c r="B27" s="44"/>
      <c r="C27" s="45">
        <f>+C26/C13</f>
        <v>0.001</v>
      </c>
      <c r="D27" s="46"/>
      <c r="E27" s="45">
        <f>+E26/E13</f>
        <v>0.0007</v>
      </c>
      <c r="F27" s="47"/>
      <c r="G27" s="45">
        <f>+G26/G13</f>
        <v>0.0006</v>
      </c>
      <c r="H27" s="47"/>
      <c r="I27" s="45">
        <f>+I26/I13</f>
        <v>0.00025</v>
      </c>
    </row>
    <row r="28" ht="14.25" customHeight="1"/>
    <row r="29" ht="14.25" customHeight="1">
      <c r="A29" s="36"/>
      <c r="B29" s="40">
        <v>0.006</v>
      </c>
      <c r="C29" s="21">
        <f>+B29*C13</f>
        <v>1612800</v>
      </c>
      <c r="D29" s="16">
        <v>0.0028</v>
      </c>
      <c r="E29" s="21">
        <f>+D29*E13</f>
        <v>5017600</v>
      </c>
      <c r="F29" s="16">
        <v>0.0021</v>
      </c>
      <c r="G29" s="21">
        <f>+F29*G13</f>
        <v>23520000</v>
      </c>
      <c r="H29" s="16">
        <v>0.0016</v>
      </c>
      <c r="I29" s="21">
        <f>+H29*I13</f>
        <v>43008000</v>
      </c>
    </row>
    <row r="30" ht="14.25" customHeight="1">
      <c r="A30" s="39" t="s">
        <v>29</v>
      </c>
      <c r="B30" s="44"/>
      <c r="C30" s="45">
        <f>+C29/C13</f>
        <v>0.006</v>
      </c>
      <c r="D30" s="46"/>
      <c r="E30" s="45">
        <f>+E29/E13</f>
        <v>0.0028</v>
      </c>
      <c r="F30" s="47"/>
      <c r="G30" s="45">
        <f>+G29/G13</f>
        <v>0.0021</v>
      </c>
      <c r="H30" s="47"/>
      <c r="I30" s="45">
        <f>+I29/I13</f>
        <v>0.0016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2025-11-26T22:22:49Z</dcterms:created>
  <dc:creator>valeria del puerto</dc:creator>
</cp:coreProperties>
</file>