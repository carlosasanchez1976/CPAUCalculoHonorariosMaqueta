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arlos Sanchez\Documents\Charly\neosis\CPAU\DesarrolloCalculoHonorarios\"/>
    </mc:Choice>
  </mc:AlternateContent>
  <bookViews>
    <workbookView xWindow="-105" yWindow="-105" windowWidth="23250" windowHeight="12450" activeTab="1"/>
  </bookViews>
  <sheets>
    <sheet name="PyD" sheetId="5" r:id="rId1"/>
    <sheet name="especialidades síntesis " sheetId="9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3" i="9" l="1"/>
  <c r="C20" i="9" s="1"/>
  <c r="C21" i="9" s="1"/>
  <c r="E13" i="9"/>
  <c r="G13" i="9"/>
  <c r="G29" i="9" s="1"/>
  <c r="G30" i="9" s="1"/>
  <c r="I13" i="9"/>
  <c r="I20" i="9" s="1"/>
  <c r="I21" i="9" s="1"/>
  <c r="H17" i="9"/>
  <c r="F18" i="9"/>
  <c r="F17" i="9"/>
  <c r="D18" i="9"/>
  <c r="D17" i="9"/>
  <c r="B17" i="9"/>
  <c r="D6" i="9"/>
  <c r="I9" i="9" s="1"/>
  <c r="I29" i="9" l="1"/>
  <c r="I30" i="9" s="1"/>
  <c r="I23" i="9"/>
  <c r="I24" i="9" s="1"/>
  <c r="I26" i="9"/>
  <c r="I27" i="9" s="1"/>
  <c r="G26" i="9"/>
  <c r="G27" i="9" s="1"/>
  <c r="G23" i="9"/>
  <c r="G24" i="9" s="1"/>
  <c r="G20" i="9"/>
  <c r="G21" i="9" s="1"/>
  <c r="C23" i="9"/>
  <c r="C24" i="9" s="1"/>
  <c r="C29" i="9"/>
  <c r="C30" i="9" s="1"/>
  <c r="C26" i="9"/>
  <c r="C27" i="9" s="1"/>
  <c r="C9" i="9"/>
  <c r="E9" i="9"/>
  <c r="G9" i="9"/>
  <c r="E29" i="9" l="1"/>
  <c r="E30" i="9" s="1"/>
  <c r="E26" i="9"/>
  <c r="E27" i="9" s="1"/>
  <c r="E23" i="9"/>
  <c r="E24" i="9" s="1"/>
  <c r="E20" i="9"/>
  <c r="E21" i="9" s="1"/>
  <c r="I20" i="5"/>
  <c r="G20" i="5"/>
  <c r="E20" i="5"/>
  <c r="F17" i="5"/>
  <c r="D17" i="5"/>
  <c r="H16" i="5"/>
  <c r="F16" i="5"/>
  <c r="D16" i="5"/>
  <c r="B16" i="5"/>
  <c r="D7" i="5"/>
  <c r="I11" i="5" s="1"/>
  <c r="I19" i="5" s="1"/>
  <c r="I21" i="5" s="1"/>
  <c r="I22" i="5" s="1"/>
  <c r="I25" i="5" l="1"/>
  <c r="I26" i="5"/>
  <c r="C11" i="5"/>
  <c r="C19" i="5" s="1"/>
  <c r="C21" i="5" s="1"/>
  <c r="C22" i="5" s="1"/>
  <c r="E11" i="5"/>
  <c r="E19" i="5" s="1"/>
  <c r="G11" i="5"/>
  <c r="G19" i="5" s="1"/>
  <c r="E21" i="5" l="1"/>
  <c r="E22" i="5" s="1"/>
  <c r="E25" i="5"/>
  <c r="G26" i="5"/>
  <c r="G21" i="5"/>
  <c r="G22" i="5" s="1"/>
  <c r="G25" i="5"/>
  <c r="E26" i="5"/>
</calcChain>
</file>

<file path=xl/sharedStrings.xml><?xml version="1.0" encoding="utf-8"?>
<sst xmlns="http://schemas.openxmlformats.org/spreadsheetml/2006/main" count="58" uniqueCount="32">
  <si>
    <t>m2</t>
  </si>
  <si>
    <t>$/m2</t>
  </si>
  <si>
    <t>ARANCEL CPAU</t>
  </si>
  <si>
    <t>k</t>
  </si>
  <si>
    <t>usd/m2</t>
  </si>
  <si>
    <t>TC</t>
  </si>
  <si>
    <t>costo obra est</t>
  </si>
  <si>
    <t>$</t>
  </si>
  <si>
    <t>Ej obra</t>
  </si>
  <si>
    <t>0.5 a 5</t>
  </si>
  <si>
    <t>5 a 25</t>
  </si>
  <si>
    <t>más de 25</t>
  </si>
  <si>
    <t>Grupo 1</t>
  </si>
  <si>
    <t>ACTUAL</t>
  </si>
  <si>
    <t>ESPECIALIDADES</t>
  </si>
  <si>
    <t>modelo 1</t>
  </si>
  <si>
    <t>modelo 2</t>
  </si>
  <si>
    <t>modelo 3</t>
  </si>
  <si>
    <t>obra costo $</t>
  </si>
  <si>
    <t>modelo x</t>
  </si>
  <si>
    <t>hecho 23-3-2026</t>
  </si>
  <si>
    <t>ELECTRICIDAD</t>
  </si>
  <si>
    <t>INCENDIO</t>
  </si>
  <si>
    <t>TERMOMECÁNICA</t>
  </si>
  <si>
    <t>CÁLCULO</t>
  </si>
  <si>
    <t>SANITARIAS Y GAS</t>
  </si>
  <si>
    <t>CON COSTOS DE MARZO 2026</t>
  </si>
  <si>
    <t>MISMOS PORCENTAJES Y K DEL ARANCEL ACTUAL PERO SIN INCLUIR ASESORES</t>
  </si>
  <si>
    <t>RANGO A</t>
  </si>
  <si>
    <t>RANGO B</t>
  </si>
  <si>
    <t>RANGO C</t>
  </si>
  <si>
    <t>RANGO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</si>
</sst>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%"/>
    <numFmt numFmtId="165" formatCode="#,##0.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6">
    <xf numFmtId="0" fontId="0" fillId="0" borderId="0" xfId="0"/>
    <xf numFmtId="3" fontId="0" fillId="0" borderId="0" xfId="0" applyNumberFormat="1"/>
    <xf numFmtId="4" fontId="0" fillId="0" borderId="0" xfId="0" applyNumberFormat="1"/>
    <xf numFmtId="14" fontId="2" fillId="3" borderId="0" xfId="0" applyNumberFormat="1" applyFont="1" applyFill="1"/>
    <xf numFmtId="0" fontId="2" fillId="3" borderId="0" xfId="0" applyFont="1" applyFill="1"/>
    <xf numFmtId="0" fontId="0" fillId="3" borderId="0" xfId="0" applyFill="1" applyAlignment="1">
      <alignment horizontal="right"/>
    </xf>
    <xf numFmtId="4" fontId="0" fillId="3" borderId="0" xfId="0" applyNumberFormat="1" applyFill="1"/>
    <xf numFmtId="0" fontId="0" fillId="0" borderId="0" xfId="0" applyAlignment="1">
      <alignment horizontal="right"/>
    </xf>
    <xf numFmtId="3" fontId="0" fillId="4" borderId="0" xfId="0" applyNumberFormat="1" applyFill="1"/>
    <xf numFmtId="0" fontId="0" fillId="4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3" fontId="0" fillId="0" borderId="3" xfId="0" applyNumberFormat="1" applyBorder="1"/>
    <xf numFmtId="3" fontId="0" fillId="0" borderId="4" xfId="0" applyNumberFormat="1" applyBorder="1"/>
    <xf numFmtId="3" fontId="0" fillId="0" borderId="2" xfId="0" applyNumberFormat="1" applyBorder="1"/>
    <xf numFmtId="3" fontId="2" fillId="0" borderId="4" xfId="0" applyNumberFormat="1" applyFont="1" applyBorder="1"/>
    <xf numFmtId="0" fontId="2" fillId="0" borderId="3" xfId="0" applyFont="1" applyBorder="1"/>
    <xf numFmtId="0" fontId="0" fillId="0" borderId="5" xfId="0" applyBorder="1"/>
    <xf numFmtId="10" fontId="0" fillId="0" borderId="6" xfId="1" applyNumberFormat="1" applyFont="1" applyBorder="1"/>
    <xf numFmtId="10" fontId="0" fillId="0" borderId="5" xfId="1" applyNumberFormat="1" applyFont="1" applyBorder="1"/>
    <xf numFmtId="0" fontId="2" fillId="2" borderId="0" xfId="0" applyFont="1" applyFill="1"/>
    <xf numFmtId="0" fontId="2" fillId="5" borderId="0" xfId="0" applyFont="1" applyFill="1"/>
    <xf numFmtId="165" fontId="0" fillId="0" borderId="1" xfId="0" applyNumberFormat="1" applyBorder="1"/>
    <xf numFmtId="0" fontId="0" fillId="6" borderId="0" xfId="0" applyFill="1"/>
    <xf numFmtId="9" fontId="0" fillId="0" borderId="0" xfId="1" applyFont="1"/>
    <xf numFmtId="0" fontId="0" fillId="6" borderId="5" xfId="0" applyFill="1" applyBorder="1"/>
    <xf numFmtId="10" fontId="0" fillId="6" borderId="6" xfId="1" applyNumberFormat="1" applyFont="1" applyFill="1" applyBorder="1"/>
    <xf numFmtId="10" fontId="0" fillId="6" borderId="5" xfId="1" applyNumberFormat="1" applyFont="1" applyFill="1" applyBorder="1"/>
    <xf numFmtId="164" fontId="0" fillId="6" borderId="5" xfId="1" applyNumberFormat="1" applyFont="1" applyFill="1" applyBorder="1"/>
    <xf numFmtId="0" fontId="0" fillId="0" borderId="0" xfId="0" applyFill="1"/>
    <xf numFmtId="0" fontId="2" fillId="0" borderId="0" xfId="0" applyFont="1" applyFill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6"/>
  <sheetViews>
    <sheetView zoomScale="75" zoomScaleNormal="75" workbookViewId="0">
      <selection activeCell="C28" sqref="C28"/>
    </sheetView>
  </sheetViews>
  <sheetFormatPr baseColWidth="10" defaultRowHeight="15" x14ac:dyDescent="0.25"/>
  <cols>
    <col min="1" max="1" width="15.5703125" customWidth="1"/>
    <col min="2" max="2" width="12.7109375" bestFit="1" customWidth="1"/>
    <col min="3" max="3" width="14.85546875" bestFit="1" customWidth="1"/>
    <col min="4" max="4" width="16.85546875" customWidth="1"/>
    <col min="5" max="5" width="14.85546875" customWidth="1"/>
    <col min="6" max="6" width="16.5703125" customWidth="1"/>
    <col min="7" max="7" width="14.5703125" customWidth="1"/>
    <col min="8" max="8" width="15.5703125" bestFit="1" customWidth="1"/>
    <col min="9" max="9" width="15.140625" customWidth="1"/>
  </cols>
  <sheetData>
    <row r="2" spans="1:10" x14ac:dyDescent="0.25">
      <c r="A2" s="3">
        <v>46104</v>
      </c>
      <c r="B2" s="4"/>
      <c r="C2" s="4" t="s">
        <v>2</v>
      </c>
      <c r="D2" s="4"/>
      <c r="E2" s="4"/>
      <c r="F2" s="4"/>
      <c r="G2" s="4"/>
      <c r="H2" s="4"/>
      <c r="I2" s="4"/>
    </row>
    <row r="4" spans="1:10" x14ac:dyDescent="0.25">
      <c r="C4" s="5" t="s">
        <v>3</v>
      </c>
      <c r="D4" s="6">
        <v>574813607</v>
      </c>
      <c r="E4" s="2"/>
    </row>
    <row r="5" spans="1:10" x14ac:dyDescent="0.25">
      <c r="C5" s="7"/>
      <c r="D5" s="2"/>
      <c r="E5" s="2"/>
    </row>
    <row r="6" spans="1:10" x14ac:dyDescent="0.25">
      <c r="B6" t="s">
        <v>4</v>
      </c>
      <c r="C6" t="s">
        <v>5</v>
      </c>
      <c r="D6" s="2" t="s">
        <v>1</v>
      </c>
      <c r="E6" s="2"/>
    </row>
    <row r="7" spans="1:10" x14ac:dyDescent="0.25">
      <c r="A7" t="s">
        <v>6</v>
      </c>
      <c r="B7">
        <v>1500</v>
      </c>
      <c r="C7">
        <v>1410</v>
      </c>
      <c r="D7" s="8">
        <f>+C7*B7</f>
        <v>2115000</v>
      </c>
      <c r="E7" s="2"/>
      <c r="F7" s="25" t="s">
        <v>27</v>
      </c>
      <c r="G7" s="25"/>
      <c r="H7" s="25"/>
      <c r="I7" s="25"/>
      <c r="J7" s="25"/>
    </row>
    <row r="8" spans="1:10" x14ac:dyDescent="0.25">
      <c r="D8" s="2"/>
      <c r="E8" s="2"/>
    </row>
    <row r="9" spans="1:10" x14ac:dyDescent="0.25">
      <c r="D9" s="2"/>
      <c r="E9" s="2"/>
    </row>
    <row r="10" spans="1:10" x14ac:dyDescent="0.25">
      <c r="B10" s="7" t="s">
        <v>0</v>
      </c>
      <c r="D10" s="7" t="s">
        <v>0</v>
      </c>
      <c r="E10" t="s">
        <v>7</v>
      </c>
      <c r="F10" s="7" t="s">
        <v>0</v>
      </c>
      <c r="G10" t="s">
        <v>7</v>
      </c>
      <c r="H10" s="7" t="s">
        <v>0</v>
      </c>
      <c r="I10" t="s">
        <v>7</v>
      </c>
    </row>
    <row r="11" spans="1:10" x14ac:dyDescent="0.25">
      <c r="A11" s="9" t="s">
        <v>8</v>
      </c>
      <c r="B11" s="8">
        <v>120</v>
      </c>
      <c r="C11" s="8">
        <f>+B11*D7</f>
        <v>253800000</v>
      </c>
      <c r="D11" s="8">
        <v>200</v>
      </c>
      <c r="E11" s="8">
        <f>+D11*D7</f>
        <v>423000000</v>
      </c>
      <c r="F11" s="8">
        <v>2000</v>
      </c>
      <c r="G11" s="8">
        <f>+F11*D7</f>
        <v>4230000000</v>
      </c>
      <c r="H11" s="8">
        <v>10000</v>
      </c>
      <c r="I11" s="8">
        <f>+H11*D7</f>
        <v>21150000000</v>
      </c>
    </row>
    <row r="12" spans="1:10" x14ac:dyDescent="0.25">
      <c r="A12" s="9"/>
      <c r="B12" s="8"/>
      <c r="C12" s="8"/>
      <c r="D12" s="8"/>
      <c r="E12" s="8"/>
      <c r="F12" s="8"/>
      <c r="G12" s="8"/>
      <c r="H12" s="8"/>
      <c r="I12" s="8"/>
    </row>
    <row r="13" spans="1:10" ht="15.75" thickBot="1" x14ac:dyDescent="0.3">
      <c r="B13" s="34" t="s">
        <v>28</v>
      </c>
      <c r="C13" s="35"/>
      <c r="D13" s="34" t="s">
        <v>29</v>
      </c>
      <c r="E13" s="35"/>
      <c r="F13" s="34" t="s">
        <v>30</v>
      </c>
      <c r="G13" s="35"/>
      <c r="H13" s="34" t="s">
        <v>31</v>
      </c>
      <c r="I13" s="35"/>
    </row>
    <row r="14" spans="1:10" x14ac:dyDescent="0.25">
      <c r="B14" s="10">
        <v>0.5</v>
      </c>
      <c r="C14" s="11"/>
      <c r="D14" s="10" t="s">
        <v>9</v>
      </c>
      <c r="E14" s="11"/>
      <c r="F14" s="10" t="s">
        <v>10</v>
      </c>
      <c r="G14" s="11"/>
      <c r="H14" s="10" t="s">
        <v>11</v>
      </c>
      <c r="I14" s="11"/>
    </row>
    <row r="15" spans="1:10" x14ac:dyDescent="0.25">
      <c r="B15" s="12"/>
      <c r="C15" s="13"/>
      <c r="D15" s="12"/>
      <c r="E15" s="13"/>
      <c r="F15" s="12"/>
      <c r="G15" s="13"/>
      <c r="H15" s="12"/>
      <c r="I15" s="13"/>
    </row>
    <row r="16" spans="1:10" x14ac:dyDescent="0.25">
      <c r="B16" s="14">
        <f>+B14*D4</f>
        <v>287406803.5</v>
      </c>
      <c r="C16" s="15"/>
      <c r="D16" s="14">
        <f>+D4*0.5</f>
        <v>287406803.5</v>
      </c>
      <c r="E16" s="15"/>
      <c r="F16" s="14">
        <f>+D4*5</f>
        <v>2874068035</v>
      </c>
      <c r="G16" s="15"/>
      <c r="H16" s="14">
        <f>+D4*25</f>
        <v>14370340175</v>
      </c>
      <c r="I16" s="15"/>
    </row>
    <row r="17" spans="1:11" x14ac:dyDescent="0.25">
      <c r="B17" s="12"/>
      <c r="C17" s="13"/>
      <c r="D17" s="14">
        <f>+D4*5</f>
        <v>2874068035</v>
      </c>
      <c r="E17" s="15"/>
      <c r="F17" s="14">
        <f>+D4*25</f>
        <v>14370340175</v>
      </c>
      <c r="G17" s="15"/>
      <c r="H17" s="14"/>
      <c r="I17" s="15"/>
    </row>
    <row r="18" spans="1:11" ht="15.75" thickBot="1" x14ac:dyDescent="0.3">
      <c r="B18" s="12"/>
      <c r="C18" s="13"/>
      <c r="D18" s="12"/>
      <c r="E18" s="13"/>
      <c r="F18" s="12"/>
      <c r="G18" s="13"/>
      <c r="H18" s="12"/>
      <c r="I18" s="13"/>
    </row>
    <row r="19" spans="1:11" x14ac:dyDescent="0.25">
      <c r="A19" s="10" t="s">
        <v>12</v>
      </c>
      <c r="B19" s="10">
        <v>0.14000000000000001</v>
      </c>
      <c r="C19" s="16">
        <f>+B19*C11</f>
        <v>35532000</v>
      </c>
      <c r="D19" s="10">
        <v>0.08</v>
      </c>
      <c r="E19" s="16">
        <f>+D19*E11</f>
        <v>33840000</v>
      </c>
      <c r="F19" s="10">
        <v>0.06</v>
      </c>
      <c r="G19" s="16">
        <f>+F19*G11</f>
        <v>253800000</v>
      </c>
      <c r="H19" s="10">
        <v>0.04</v>
      </c>
      <c r="I19" s="16">
        <f>+H19*I11</f>
        <v>846000000</v>
      </c>
    </row>
    <row r="20" spans="1:11" x14ac:dyDescent="0.25">
      <c r="A20" s="12" t="s">
        <v>13</v>
      </c>
      <c r="B20" s="12"/>
      <c r="C20" s="15"/>
      <c r="D20" s="12">
        <v>0.03</v>
      </c>
      <c r="E20" s="15">
        <f>+D20*D4</f>
        <v>17244408.210000001</v>
      </c>
      <c r="F20" s="12">
        <v>0.13</v>
      </c>
      <c r="G20" s="15">
        <f>+F20*D4</f>
        <v>74725768.909999996</v>
      </c>
      <c r="H20" s="12">
        <v>0.63</v>
      </c>
      <c r="I20" s="15">
        <f>+H20*D4</f>
        <v>362132572.41000003</v>
      </c>
    </row>
    <row r="21" spans="1:11" x14ac:dyDescent="0.25">
      <c r="A21" s="12"/>
      <c r="B21" s="12"/>
      <c r="C21" s="17">
        <f>SUM(C19:C20)</f>
        <v>35532000</v>
      </c>
      <c r="D21" s="18"/>
      <c r="E21" s="17">
        <f>SUM(E19:E20)</f>
        <v>51084408.210000001</v>
      </c>
      <c r="F21" s="18"/>
      <c r="G21" s="17">
        <f>SUM(G19:G20)</f>
        <v>328525768.90999997</v>
      </c>
      <c r="H21" s="18"/>
      <c r="I21" s="17">
        <f>SUM(I19:I20)</f>
        <v>1208132572.4100001</v>
      </c>
    </row>
    <row r="22" spans="1:11" ht="15.75" thickBot="1" x14ac:dyDescent="0.3">
      <c r="A22" s="19"/>
      <c r="B22" s="19"/>
      <c r="C22" s="20">
        <f>+C21/C11</f>
        <v>0.14000000000000001</v>
      </c>
      <c r="D22" s="21"/>
      <c r="E22" s="20">
        <f>+E21/E11</f>
        <v>0.1207669224822695</v>
      </c>
      <c r="F22" s="21"/>
      <c r="G22" s="20">
        <f>+G21/G11</f>
        <v>7.7665666408983439E-2</v>
      </c>
      <c r="H22" s="21"/>
      <c r="I22" s="20">
        <f>+I21/I11</f>
        <v>5.7122107442553194E-2</v>
      </c>
    </row>
    <row r="25" spans="1:11" x14ac:dyDescent="0.25">
      <c r="C25" s="26"/>
      <c r="D25" s="26"/>
      <c r="E25" s="26">
        <f>+E19/E11</f>
        <v>0.08</v>
      </c>
      <c r="F25" s="26"/>
      <c r="G25" s="26">
        <f>+G19/G11</f>
        <v>0.06</v>
      </c>
      <c r="H25" s="26"/>
      <c r="I25" s="26">
        <f>+I19/I11</f>
        <v>0.04</v>
      </c>
      <c r="J25" s="26"/>
      <c r="K25" s="26"/>
    </row>
    <row r="26" spans="1:11" x14ac:dyDescent="0.25">
      <c r="C26" s="26"/>
      <c r="D26" s="26"/>
      <c r="E26" s="26">
        <f>+E20/E11</f>
        <v>4.0766922482269506E-2</v>
      </c>
      <c r="F26" s="26"/>
      <c r="G26" s="26">
        <f>+G20/G11</f>
        <v>1.7665666408983451E-2</v>
      </c>
      <c r="H26" s="26"/>
      <c r="I26" s="26">
        <f>+I20/I11</f>
        <v>1.7122107442553193E-2</v>
      </c>
      <c r="J26" s="26"/>
      <c r="K26" s="26"/>
    </row>
  </sheetData>
  <mergeCells count="4">
    <mergeCell ref="B13:C13"/>
    <mergeCell ref="D13:E13"/>
    <mergeCell ref="F13:G13"/>
    <mergeCell ref="H13:I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tabSelected="1" zoomScale="75" zoomScaleNormal="75" workbookViewId="0">
      <selection activeCell="E37" sqref="E37"/>
    </sheetView>
  </sheetViews>
  <sheetFormatPr baseColWidth="10" defaultRowHeight="15" x14ac:dyDescent="0.25"/>
  <cols>
    <col min="1" max="1" width="25.28515625" customWidth="1"/>
    <col min="2" max="2" width="12.7109375" bestFit="1" customWidth="1"/>
    <col min="3" max="3" width="15.7109375" bestFit="1" customWidth="1"/>
    <col min="4" max="4" width="15.28515625" customWidth="1"/>
    <col min="5" max="5" width="14.7109375" bestFit="1" customWidth="1"/>
    <col min="6" max="6" width="15.5703125" bestFit="1" customWidth="1"/>
    <col min="7" max="7" width="14.28515625" customWidth="1"/>
    <col min="8" max="9" width="15.5703125" bestFit="1" customWidth="1"/>
  </cols>
  <sheetData>
    <row r="1" spans="1:12" x14ac:dyDescent="0.25">
      <c r="A1" s="22" t="s">
        <v>14</v>
      </c>
      <c r="B1" s="22"/>
      <c r="C1" s="22"/>
      <c r="D1" s="22"/>
      <c r="E1" s="22" t="s">
        <v>20</v>
      </c>
      <c r="F1" s="22"/>
      <c r="G1" s="22" t="s">
        <v>26</v>
      </c>
      <c r="H1" s="22"/>
      <c r="I1" s="22"/>
    </row>
    <row r="3" spans="1:12" x14ac:dyDescent="0.25">
      <c r="C3" s="5" t="s">
        <v>3</v>
      </c>
      <c r="D3" s="6">
        <v>574813607</v>
      </c>
      <c r="E3" s="2"/>
    </row>
    <row r="4" spans="1:12" x14ac:dyDescent="0.25">
      <c r="C4" s="7"/>
      <c r="D4" s="2"/>
      <c r="E4" s="2"/>
    </row>
    <row r="5" spans="1:12" x14ac:dyDescent="0.25">
      <c r="B5" t="s">
        <v>4</v>
      </c>
      <c r="C5" t="s">
        <v>5</v>
      </c>
      <c r="D5" s="2" t="s">
        <v>1</v>
      </c>
      <c r="E5" s="2"/>
    </row>
    <row r="6" spans="1:12" x14ac:dyDescent="0.25">
      <c r="A6" t="s">
        <v>6</v>
      </c>
      <c r="B6">
        <v>1500</v>
      </c>
      <c r="C6">
        <v>1410</v>
      </c>
      <c r="D6" s="8">
        <f>+C6*B6</f>
        <v>2115000</v>
      </c>
      <c r="E6" s="2"/>
    </row>
    <row r="7" spans="1:12" x14ac:dyDescent="0.25">
      <c r="D7" s="2"/>
      <c r="E7" s="2"/>
    </row>
    <row r="8" spans="1:12" x14ac:dyDescent="0.25">
      <c r="B8" s="7" t="s">
        <v>0</v>
      </c>
      <c r="C8" t="s">
        <v>7</v>
      </c>
      <c r="D8" s="7" t="s">
        <v>0</v>
      </c>
      <c r="E8" t="s">
        <v>7</v>
      </c>
      <c r="F8" s="7" t="s">
        <v>0</v>
      </c>
      <c r="G8" t="s">
        <v>7</v>
      </c>
      <c r="H8" s="7" t="s">
        <v>0</v>
      </c>
      <c r="I8" t="s">
        <v>7</v>
      </c>
    </row>
    <row r="9" spans="1:12" x14ac:dyDescent="0.25">
      <c r="A9" t="s">
        <v>8</v>
      </c>
      <c r="B9" s="1">
        <v>120</v>
      </c>
      <c r="C9" s="1">
        <f>+B9*D6</f>
        <v>253800000</v>
      </c>
      <c r="D9" s="1">
        <v>800</v>
      </c>
      <c r="E9" s="1">
        <f>+D9*D6</f>
        <v>1692000000</v>
      </c>
      <c r="F9" s="1">
        <v>2000</v>
      </c>
      <c r="G9" s="1">
        <f>+F9*D6</f>
        <v>4230000000</v>
      </c>
      <c r="H9" s="1">
        <v>10000</v>
      </c>
      <c r="I9" s="1">
        <f>+H9*D6</f>
        <v>21150000000</v>
      </c>
    </row>
    <row r="11" spans="1:12" x14ac:dyDescent="0.25">
      <c r="A11" s="32"/>
      <c r="C11" t="s">
        <v>15</v>
      </c>
      <c r="D11" t="s">
        <v>19</v>
      </c>
      <c r="G11" t="s">
        <v>16</v>
      </c>
      <c r="I11" t="s">
        <v>17</v>
      </c>
    </row>
    <row r="12" spans="1:12" x14ac:dyDescent="0.25">
      <c r="A12" s="32"/>
    </row>
    <row r="13" spans="1:12" x14ac:dyDescent="0.25">
      <c r="A13" s="9" t="s">
        <v>18</v>
      </c>
      <c r="B13" s="8">
        <v>111</v>
      </c>
      <c r="C13" s="8">
        <f>+B13*D6</f>
        <v>234765000</v>
      </c>
      <c r="D13" s="8">
        <v>800</v>
      </c>
      <c r="E13" s="8">
        <f>+D13*D6</f>
        <v>1692000000</v>
      </c>
      <c r="F13" s="8">
        <v>2074</v>
      </c>
      <c r="G13" s="8">
        <f>+F13*D6</f>
        <v>4386510000</v>
      </c>
      <c r="H13" s="8">
        <v>11948</v>
      </c>
      <c r="I13" s="8">
        <f>+H13*D6</f>
        <v>25270020000</v>
      </c>
      <c r="J13" s="1"/>
    </row>
    <row r="14" spans="1:12" x14ac:dyDescent="0.25">
      <c r="B14" s="1"/>
      <c r="C14" s="1"/>
      <c r="D14" s="1"/>
      <c r="E14" s="1"/>
      <c r="F14" s="1"/>
      <c r="G14" s="1"/>
      <c r="H14" s="1"/>
      <c r="I14" s="1"/>
      <c r="J14" s="1"/>
    </row>
    <row r="15" spans="1:12" ht="15.75" thickBot="1" x14ac:dyDescent="0.3">
      <c r="B15" s="33" t="s">
        <v>28</v>
      </c>
      <c r="C15" s="33"/>
      <c r="D15" s="33" t="s">
        <v>29</v>
      </c>
      <c r="E15" s="33"/>
      <c r="F15" s="33" t="s">
        <v>30</v>
      </c>
      <c r="G15" s="33"/>
      <c r="H15" s="33" t="s">
        <v>31</v>
      </c>
      <c r="I15" s="33"/>
      <c r="K15" s="31"/>
      <c r="L15" s="31"/>
    </row>
    <row r="16" spans="1:12" x14ac:dyDescent="0.25">
      <c r="B16" s="12">
        <v>0.5</v>
      </c>
      <c r="C16" s="13"/>
      <c r="D16" s="10" t="s">
        <v>9</v>
      </c>
      <c r="E16" s="11"/>
      <c r="F16" s="10" t="s">
        <v>10</v>
      </c>
      <c r="G16" s="11"/>
      <c r="H16" s="10" t="s">
        <v>11</v>
      </c>
      <c r="I16" s="11"/>
      <c r="K16" s="31"/>
      <c r="L16" s="31"/>
    </row>
    <row r="17" spans="1:12" x14ac:dyDescent="0.25">
      <c r="B17" s="14">
        <f>+B16*D3</f>
        <v>287406803.5</v>
      </c>
      <c r="C17" s="15"/>
      <c r="D17" s="14">
        <f>+D3*0.5</f>
        <v>287406803.5</v>
      </c>
      <c r="E17" s="15"/>
      <c r="F17" s="14">
        <f>+D3*5</f>
        <v>2874068035</v>
      </c>
      <c r="G17" s="15"/>
      <c r="H17" s="14">
        <f>+D3*25</f>
        <v>14370340175</v>
      </c>
      <c r="I17" s="15"/>
      <c r="K17" s="31"/>
      <c r="L17" s="31"/>
    </row>
    <row r="18" spans="1:12" x14ac:dyDescent="0.25">
      <c r="B18" s="12"/>
      <c r="C18" s="13"/>
      <c r="D18" s="14">
        <f>+D3*5</f>
        <v>2874068035</v>
      </c>
      <c r="E18" s="15"/>
      <c r="F18" s="14">
        <f>+D3*25</f>
        <v>14370340175</v>
      </c>
      <c r="G18" s="15"/>
      <c r="H18" s="14"/>
      <c r="I18" s="15"/>
      <c r="K18" s="31"/>
      <c r="L18" s="31"/>
    </row>
    <row r="19" spans="1:12" ht="15.75" thickBot="1" x14ac:dyDescent="0.3">
      <c r="B19" s="12"/>
      <c r="C19" s="13"/>
      <c r="D19" s="12"/>
      <c r="E19" s="13"/>
      <c r="F19" s="12"/>
      <c r="G19" s="13"/>
      <c r="H19" s="12"/>
      <c r="I19" s="13"/>
      <c r="K19" s="31"/>
      <c r="L19" s="31"/>
    </row>
    <row r="20" spans="1:12" x14ac:dyDescent="0.25">
      <c r="A20" s="23" t="s">
        <v>25</v>
      </c>
      <c r="B20" s="24">
        <v>4.0000000000000001E-3</v>
      </c>
      <c r="C20" s="16">
        <f>+B20*C13</f>
        <v>939060</v>
      </c>
      <c r="D20" s="10">
        <v>1.4E-3</v>
      </c>
      <c r="E20" s="16">
        <f>+D20*E13</f>
        <v>2368800</v>
      </c>
      <c r="F20" s="10">
        <v>1.1999999999999999E-3</v>
      </c>
      <c r="G20" s="16">
        <f>+F20*G13</f>
        <v>5263812</v>
      </c>
      <c r="H20" s="10">
        <v>5.0000000000000001E-4</v>
      </c>
      <c r="I20" s="16">
        <f>+H20*I13</f>
        <v>12635010</v>
      </c>
      <c r="K20" s="31"/>
      <c r="L20" s="31"/>
    </row>
    <row r="21" spans="1:12" ht="15.75" thickBot="1" x14ac:dyDescent="0.3">
      <c r="A21" s="23" t="s">
        <v>21</v>
      </c>
      <c r="B21" s="27"/>
      <c r="C21" s="28">
        <f>+C20/C13</f>
        <v>4.0000000000000001E-3</v>
      </c>
      <c r="D21" s="29"/>
      <c r="E21" s="28">
        <f>+E20/E13</f>
        <v>1.4E-3</v>
      </c>
      <c r="F21" s="30"/>
      <c r="G21" s="28">
        <f>+G20/G13</f>
        <v>1.1999999999999999E-3</v>
      </c>
      <c r="H21" s="30"/>
      <c r="I21" s="28">
        <f>+I20/I13</f>
        <v>5.0000000000000001E-4</v>
      </c>
      <c r="J21" s="31"/>
      <c r="K21" s="31"/>
      <c r="L21" s="31"/>
    </row>
    <row r="22" spans="1:12" ht="15.75" thickBot="1" x14ac:dyDescent="0.3"/>
    <row r="23" spans="1:12" x14ac:dyDescent="0.25">
      <c r="A23" s="32"/>
      <c r="B23" s="24">
        <v>1E-3</v>
      </c>
      <c r="C23" s="16">
        <f>+B23*C13</f>
        <v>234765</v>
      </c>
      <c r="D23" s="10">
        <v>6.9999999999999999E-4</v>
      </c>
      <c r="E23" s="16">
        <f>+D23*E13</f>
        <v>1184400</v>
      </c>
      <c r="F23" s="10">
        <v>5.9999999999999995E-4</v>
      </c>
      <c r="G23" s="16">
        <f>+F23*G13</f>
        <v>2631906</v>
      </c>
      <c r="H23" s="10">
        <v>2.5000000000000001E-4</v>
      </c>
      <c r="I23" s="16">
        <f>+H23*I13</f>
        <v>6317505</v>
      </c>
    </row>
    <row r="24" spans="1:12" ht="15.75" thickBot="1" x14ac:dyDescent="0.3">
      <c r="A24" s="23" t="s">
        <v>22</v>
      </c>
      <c r="B24" s="27"/>
      <c r="C24" s="28">
        <f>+C23/C13</f>
        <v>1E-3</v>
      </c>
      <c r="D24" s="29"/>
      <c r="E24" s="28">
        <f>+E23/E13</f>
        <v>6.9999999999999999E-4</v>
      </c>
      <c r="F24" s="30"/>
      <c r="G24" s="28">
        <f>+G23/G13</f>
        <v>5.9999999999999995E-4</v>
      </c>
      <c r="H24" s="30"/>
      <c r="I24" s="28">
        <f>+I23/I13</f>
        <v>2.5000000000000001E-4</v>
      </c>
    </row>
    <row r="25" spans="1:12" ht="15.75" thickBot="1" x14ac:dyDescent="0.3"/>
    <row r="26" spans="1:12" x14ac:dyDescent="0.25">
      <c r="A26" s="32"/>
      <c r="B26" s="24">
        <v>1E-3</v>
      </c>
      <c r="C26" s="16">
        <f>+B26*C13</f>
        <v>234765</v>
      </c>
      <c r="D26" s="10">
        <v>6.9999999999999999E-4</v>
      </c>
      <c r="E26" s="16">
        <f>+D26*E13</f>
        <v>1184400</v>
      </c>
      <c r="F26" s="10">
        <v>5.9999999999999995E-4</v>
      </c>
      <c r="G26" s="16">
        <f>+F26*G13</f>
        <v>2631906</v>
      </c>
      <c r="H26" s="10">
        <v>2.5000000000000001E-4</v>
      </c>
      <c r="I26" s="16">
        <f>+H26*I13</f>
        <v>6317505</v>
      </c>
    </row>
    <row r="27" spans="1:12" ht="15.75" thickBot="1" x14ac:dyDescent="0.3">
      <c r="A27" s="23" t="s">
        <v>23</v>
      </c>
      <c r="B27" s="27"/>
      <c r="C27" s="28">
        <f>+C26/C13</f>
        <v>1E-3</v>
      </c>
      <c r="D27" s="29"/>
      <c r="E27" s="28">
        <f>+E26/E13</f>
        <v>6.9999999999999999E-4</v>
      </c>
      <c r="F27" s="30"/>
      <c r="G27" s="28">
        <f>+G26/G13</f>
        <v>5.9999999999999995E-4</v>
      </c>
      <c r="H27" s="30"/>
      <c r="I27" s="28">
        <f>+I26/I13</f>
        <v>2.5000000000000001E-4</v>
      </c>
    </row>
    <row r="28" spans="1:12" ht="15.75" thickBot="1" x14ac:dyDescent="0.3"/>
    <row r="29" spans="1:12" x14ac:dyDescent="0.25">
      <c r="A29" s="32"/>
      <c r="B29" s="24">
        <v>6.0000000000000001E-3</v>
      </c>
      <c r="C29" s="16">
        <f>+B29*C13</f>
        <v>1408590</v>
      </c>
      <c r="D29" s="10">
        <v>2.8E-3</v>
      </c>
      <c r="E29" s="16">
        <f>+D29*E13</f>
        <v>4737600</v>
      </c>
      <c r="F29" s="10">
        <v>2.0999999999999999E-3</v>
      </c>
      <c r="G29" s="16">
        <f>+F29*G13</f>
        <v>9211671</v>
      </c>
      <c r="H29" s="10">
        <v>1.6000000000000001E-3</v>
      </c>
      <c r="I29" s="16">
        <f>+H29*I13</f>
        <v>40432032</v>
      </c>
    </row>
    <row r="30" spans="1:12" ht="15.75" thickBot="1" x14ac:dyDescent="0.3">
      <c r="A30" s="23" t="s">
        <v>24</v>
      </c>
      <c r="B30" s="27"/>
      <c r="C30" s="28">
        <f>+C29/C13</f>
        <v>6.0000000000000001E-3</v>
      </c>
      <c r="D30" s="29"/>
      <c r="E30" s="28">
        <f>+E29/E13</f>
        <v>2.8E-3</v>
      </c>
      <c r="F30" s="30"/>
      <c r="G30" s="28">
        <f>+G29/G13</f>
        <v>2.0999999999999999E-3</v>
      </c>
      <c r="H30" s="30"/>
      <c r="I30" s="28">
        <f>+I29/I13</f>
        <v>1.6000000000000001E-3</v>
      </c>
    </row>
  </sheetData>
  <mergeCells count="4">
    <mergeCell ref="B15:C15"/>
    <mergeCell ref="D15:E15"/>
    <mergeCell ref="F15:G15"/>
    <mergeCell ref="H15:I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PyD</vt:lpstr>
      <vt:lpstr>especialidades síntesis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del puerto</dc:creator>
  <cp:lastModifiedBy>Carlos Sanchez</cp:lastModifiedBy>
  <dcterms:created xsi:type="dcterms:W3CDTF">2025-11-26T22:22:49Z</dcterms:created>
  <dcterms:modified xsi:type="dcterms:W3CDTF">2026-04-20T14:49:49Z</dcterms:modified>
</cp:coreProperties>
</file>