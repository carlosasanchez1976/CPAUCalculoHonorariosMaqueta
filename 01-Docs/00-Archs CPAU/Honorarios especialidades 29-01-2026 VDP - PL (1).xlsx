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rlos Sanchez\Documents\Charly\neosis\CPAU\DesarrolloCalculoHonorarios\"/>
    </mc:Choice>
  </mc:AlternateContent>
  <bookViews>
    <workbookView xWindow="0" yWindow="0" windowWidth="20160" windowHeight="7560"/>
  </bookViews>
  <sheets>
    <sheet name="PyD Arquitectura" sheetId="5" r:id="rId1"/>
    <sheet name="P Instalaciones" sheetId="6" r:id="rId2"/>
    <sheet name="P estructuras" sheetId="7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5" l="1"/>
  <c r="E17" i="5"/>
  <c r="C17" i="5"/>
  <c r="G16" i="5"/>
  <c r="G18" i="5" s="1"/>
  <c r="E16" i="5"/>
  <c r="I18" i="5"/>
  <c r="E18" i="5"/>
  <c r="I16" i="5"/>
  <c r="C16" i="5"/>
  <c r="C18" i="5" s="1"/>
  <c r="M25" i="5" l="1"/>
  <c r="E28" i="6" l="1"/>
  <c r="D6" i="6" l="1"/>
  <c r="C9" i="6" s="1"/>
  <c r="I9" i="6" l="1"/>
  <c r="G9" i="6"/>
  <c r="E9" i="6"/>
  <c r="E12" i="6" s="1"/>
  <c r="I30" i="7"/>
  <c r="I32" i="7" s="1"/>
  <c r="I33" i="7" s="1"/>
  <c r="G30" i="7"/>
  <c r="G32" i="7" s="1"/>
  <c r="G33" i="7" s="1"/>
  <c r="C30" i="7"/>
  <c r="C32" i="7" s="1"/>
  <c r="C33" i="7" s="1"/>
  <c r="I20" i="7"/>
  <c r="G20" i="7"/>
  <c r="E20" i="7"/>
  <c r="I19" i="7"/>
  <c r="G19" i="7"/>
  <c r="C19" i="7"/>
  <c r="C21" i="7" s="1"/>
  <c r="C22" i="7" s="1"/>
  <c r="D6" i="7"/>
  <c r="C9" i="7" s="1"/>
  <c r="I22" i="6"/>
  <c r="G22" i="6"/>
  <c r="C22" i="6"/>
  <c r="C24" i="6" s="1"/>
  <c r="C25" i="6" s="1"/>
  <c r="I24" i="5"/>
  <c r="G24" i="5"/>
  <c r="E24" i="5"/>
  <c r="F16" i="5"/>
  <c r="D16" i="5"/>
  <c r="H15" i="5"/>
  <c r="F15" i="5"/>
  <c r="D15" i="5"/>
  <c r="B16" i="5"/>
  <c r="I10" i="5"/>
  <c r="I23" i="5" s="1"/>
  <c r="I25" i="5" s="1"/>
  <c r="I26" i="5" s="1"/>
  <c r="I24" i="6" l="1"/>
  <c r="I25" i="6" s="1"/>
  <c r="G24" i="6"/>
  <c r="G25" i="6" s="1"/>
  <c r="E9" i="7"/>
  <c r="G9" i="7"/>
  <c r="I9" i="7"/>
  <c r="G21" i="7"/>
  <c r="G22" i="7" s="1"/>
  <c r="I21" i="7"/>
  <c r="I22" i="7" s="1"/>
  <c r="C23" i="5"/>
  <c r="C25" i="5" s="1"/>
  <c r="C26" i="5" s="1"/>
  <c r="E10" i="5"/>
  <c r="E23" i="5" s="1"/>
  <c r="E25" i="5" s="1"/>
  <c r="E26" i="5" s="1"/>
  <c r="G10" i="5"/>
  <c r="G23" i="5" s="1"/>
  <c r="G25" i="5" s="1"/>
  <c r="G26" i="5" s="1"/>
  <c r="E12" i="7" l="1"/>
  <c r="E22" i="6" l="1"/>
  <c r="E30" i="7"/>
  <c r="E32" i="7" s="1"/>
  <c r="E33" i="7" s="1"/>
  <c r="E19" i="7"/>
  <c r="E21" i="7" s="1"/>
  <c r="E22" i="7" s="1"/>
  <c r="E24" i="6" l="1"/>
  <c r="E25" i="6" s="1"/>
</calcChain>
</file>

<file path=xl/sharedStrings.xml><?xml version="1.0" encoding="utf-8"?>
<sst xmlns="http://schemas.openxmlformats.org/spreadsheetml/2006/main" count="106" uniqueCount="53">
  <si>
    <t>m2</t>
  </si>
  <si>
    <t>$/m2</t>
  </si>
  <si>
    <t>ARANCEL CPAU</t>
  </si>
  <si>
    <t>k</t>
  </si>
  <si>
    <t>usd/m2</t>
  </si>
  <si>
    <t>TC</t>
  </si>
  <si>
    <t>costo obra est</t>
  </si>
  <si>
    <t>$</t>
  </si>
  <si>
    <t>Ej obra</t>
  </si>
  <si>
    <t>0.5 a 5</t>
  </si>
  <si>
    <t>5 a 25</t>
  </si>
  <si>
    <t>más de 25</t>
  </si>
  <si>
    <t>Grupo 1</t>
  </si>
  <si>
    <t>ACTUAL</t>
  </si>
  <si>
    <t>ESPECIALIDADES</t>
  </si>
  <si>
    <t>SEPTIEMBRE</t>
  </si>
  <si>
    <t>modelo 1</t>
  </si>
  <si>
    <t>SANITARIAS</t>
  </si>
  <si>
    <t>modelo 2</t>
  </si>
  <si>
    <t>modelo 3</t>
  </si>
  <si>
    <t>obra costo $</t>
  </si>
  <si>
    <t>modelo x</t>
  </si>
  <si>
    <t>ESTRUCTURAS</t>
  </si>
  <si>
    <t>0.5k a 5k</t>
  </si>
  <si>
    <t>5k a 25k</t>
  </si>
  <si>
    <t>más de 25k</t>
  </si>
  <si>
    <t>Costo de obra total</t>
  </si>
  <si>
    <t>hasta 0.5k</t>
  </si>
  <si>
    <t>Honorarios Proyecto</t>
  </si>
  <si>
    <t>Costo de obra</t>
  </si>
  <si>
    <t>K</t>
  </si>
  <si>
    <t>SANITARIA</t>
  </si>
  <si>
    <t>ELECTRICA</t>
  </si>
  <si>
    <t>CONTRA INCENDIO</t>
  </si>
  <si>
    <t>OK</t>
  </si>
  <si>
    <t>NO OK</t>
  </si>
  <si>
    <t>INSTALACIONES</t>
  </si>
  <si>
    <t>PROYECTO</t>
  </si>
  <si>
    <t>60 %</t>
  </si>
  <si>
    <t>40%</t>
  </si>
  <si>
    <t>DIRECCION</t>
  </si>
  <si>
    <t>VAL MT2</t>
  </si>
  <si>
    <t>RANGO A</t>
  </si>
  <si>
    <t>RANGO B</t>
  </si>
  <si>
    <t>RANGO C</t>
  </si>
  <si>
    <t>RANGO D</t>
  </si>
  <si>
    <t>Lim Inferior</t>
  </si>
  <si>
    <t>Lim Superior</t>
  </si>
  <si>
    <t>Ej Costo Total de Obra</t>
  </si>
  <si>
    <t>Importe Calc del Rango</t>
  </si>
  <si>
    <t>Lim a tomar</t>
  </si>
  <si>
    <t>Coef K</t>
  </si>
  <si>
    <t>Total calculo (De tarea)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</si>
</sst>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%"/>
    <numFmt numFmtId="165" formatCode="#,##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3" fontId="0" fillId="0" borderId="0" xfId="0" applyNumberFormat="1"/>
    <xf numFmtId="4" fontId="0" fillId="0" borderId="0" xfId="0" applyNumberFormat="1"/>
    <xf numFmtId="14" fontId="2" fillId="3" borderId="0" xfId="0" applyNumberFormat="1" applyFont="1" applyFill="1"/>
    <xf numFmtId="0" fontId="2" fillId="3" borderId="0" xfId="0" applyFont="1" applyFill="1"/>
    <xf numFmtId="0" fontId="0" fillId="3" borderId="0" xfId="0" applyFill="1" applyAlignment="1">
      <alignment horizontal="right"/>
    </xf>
    <xf numFmtId="4" fontId="0" fillId="3" borderId="0" xfId="0" applyNumberFormat="1" applyFill="1"/>
    <xf numFmtId="0" fontId="0" fillId="0" borderId="0" xfId="0" applyAlignment="1">
      <alignment horizontal="right"/>
    </xf>
    <xf numFmtId="3" fontId="0" fillId="4" borderId="0" xfId="0" applyNumberFormat="1" applyFill="1"/>
    <xf numFmtId="0" fontId="0" fillId="4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2" xfId="0" applyNumberFormat="1" applyBorder="1"/>
    <xf numFmtId="3" fontId="2" fillId="0" borderId="4" xfId="0" applyNumberFormat="1" applyFont="1" applyBorder="1"/>
    <xf numFmtId="0" fontId="2" fillId="0" borderId="3" xfId="0" applyFont="1" applyBorder="1"/>
    <xf numFmtId="0" fontId="0" fillId="0" borderId="5" xfId="0" applyBorder="1"/>
    <xf numFmtId="10" fontId="0" fillId="0" borderId="6" xfId="1" applyNumberFormat="1" applyFont="1" applyBorder="1"/>
    <xf numFmtId="10" fontId="0" fillId="0" borderId="5" xfId="1" applyNumberFormat="1" applyFont="1" applyBorder="1"/>
    <xf numFmtId="0" fontId="2" fillId="2" borderId="0" xfId="0" applyFont="1" applyFill="1"/>
    <xf numFmtId="0" fontId="2" fillId="5" borderId="0" xfId="0" applyFont="1" applyFill="1"/>
    <xf numFmtId="165" fontId="0" fillId="0" borderId="1" xfId="0" applyNumberFormat="1" applyBorder="1"/>
    <xf numFmtId="0" fontId="0" fillId="6" borderId="3" xfId="0" applyFill="1" applyBorder="1"/>
    <xf numFmtId="0" fontId="0" fillId="6" borderId="0" xfId="0" applyFill="1"/>
    <xf numFmtId="9" fontId="0" fillId="0" borderId="0" xfId="1" applyFont="1"/>
    <xf numFmtId="10" fontId="0" fillId="0" borderId="6" xfId="1" applyNumberFormat="1" applyFont="1" applyFill="1" applyBorder="1"/>
    <xf numFmtId="0" fontId="0" fillId="6" borderId="5" xfId="0" applyFill="1" applyBorder="1"/>
    <xf numFmtId="10" fontId="0" fillId="6" borderId="6" xfId="1" applyNumberFormat="1" applyFont="1" applyFill="1" applyBorder="1"/>
    <xf numFmtId="10" fontId="0" fillId="6" borderId="5" xfId="1" applyNumberFormat="1" applyFont="1" applyFill="1" applyBorder="1"/>
    <xf numFmtId="164" fontId="0" fillId="6" borderId="6" xfId="1" applyNumberFormat="1" applyFont="1" applyFill="1" applyBorder="1"/>
    <xf numFmtId="164" fontId="0" fillId="6" borderId="5" xfId="1" applyNumberFormat="1" applyFont="1" applyFill="1" applyBorder="1"/>
    <xf numFmtId="0" fontId="0" fillId="0" borderId="0" xfId="0" applyFill="1"/>
    <xf numFmtId="165" fontId="0" fillId="6" borderId="1" xfId="0" applyNumberFormat="1" applyFill="1" applyBorder="1"/>
    <xf numFmtId="3" fontId="0" fillId="6" borderId="2" xfId="0" applyNumberFormat="1" applyFill="1" applyBorder="1"/>
    <xf numFmtId="0" fontId="0" fillId="6" borderId="1" xfId="0" applyFill="1" applyBorder="1"/>
    <xf numFmtId="3" fontId="0" fillId="6" borderId="4" xfId="0" applyNumberFormat="1" applyFill="1" applyBorder="1"/>
    <xf numFmtId="3" fontId="2" fillId="6" borderId="4" xfId="0" applyNumberFormat="1" applyFont="1" applyFill="1" applyBorder="1"/>
    <xf numFmtId="0" fontId="2" fillId="6" borderId="3" xfId="0" applyFont="1" applyFill="1" applyBorder="1"/>
    <xf numFmtId="0" fontId="0" fillId="0" borderId="0" xfId="0" quotePrefix="1"/>
    <xf numFmtId="0" fontId="0" fillId="7" borderId="0" xfId="0" applyFill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" fontId="0" fillId="0" borderId="4" xfId="0" applyNumberFormat="1" applyBorder="1"/>
    <xf numFmtId="1" fontId="0" fillId="6" borderId="4" xfId="0" applyNumberForma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0"/>
  <sheetViews>
    <sheetView tabSelected="1" workbookViewId="0">
      <selection activeCell="B20" sqref="B20"/>
    </sheetView>
  </sheetViews>
  <sheetFormatPr baseColWidth="10" defaultRowHeight="15" x14ac:dyDescent="0.25"/>
  <cols>
    <col min="1" max="1" width="21.5703125" bestFit="1" customWidth="1"/>
    <col min="4" max="4" width="16.140625" customWidth="1"/>
    <col min="5" max="5" width="12.7109375" bestFit="1" customWidth="1"/>
    <col min="6" max="6" width="16.5703125" customWidth="1"/>
    <col min="7" max="7" width="14.5703125" customWidth="1"/>
    <col min="8" max="8" width="14.7109375" customWidth="1"/>
    <col min="9" max="9" width="15.140625" customWidth="1"/>
  </cols>
  <sheetData>
    <row r="2" spans="1:9" x14ac:dyDescent="0.25">
      <c r="A2" s="3">
        <v>45986</v>
      </c>
      <c r="B2" s="4"/>
      <c r="C2" s="4" t="s">
        <v>2</v>
      </c>
      <c r="D2" s="4"/>
      <c r="E2" s="4"/>
      <c r="F2" s="4"/>
      <c r="G2" s="4"/>
      <c r="H2" s="4"/>
      <c r="I2" s="4"/>
    </row>
    <row r="4" spans="1:9" x14ac:dyDescent="0.25">
      <c r="C4" s="5" t="s">
        <v>3</v>
      </c>
      <c r="D4" s="6">
        <v>530536664.44</v>
      </c>
      <c r="E4" s="2"/>
    </row>
    <row r="5" spans="1:9" x14ac:dyDescent="0.25">
      <c r="C5" s="7"/>
      <c r="D5" s="2"/>
      <c r="E5" s="2"/>
    </row>
    <row r="6" spans="1:9" x14ac:dyDescent="0.25">
      <c r="B6" t="s">
        <v>4</v>
      </c>
      <c r="C6" t="s">
        <v>5</v>
      </c>
      <c r="D6" s="2" t="s">
        <v>1</v>
      </c>
      <c r="E6" s="2"/>
    </row>
    <row r="7" spans="1:9" x14ac:dyDescent="0.25">
      <c r="A7" t="s">
        <v>6</v>
      </c>
      <c r="B7">
        <v>1300</v>
      </c>
      <c r="C7">
        <v>1400</v>
      </c>
      <c r="D7" s="8">
        <v>2115000</v>
      </c>
      <c r="E7" s="2"/>
    </row>
    <row r="8" spans="1:9" x14ac:dyDescent="0.25">
      <c r="D8" s="2"/>
      <c r="E8" s="2"/>
    </row>
    <row r="9" spans="1:9" x14ac:dyDescent="0.25">
      <c r="B9" s="7"/>
      <c r="D9" s="7" t="s">
        <v>0</v>
      </c>
      <c r="E9" t="s">
        <v>7</v>
      </c>
      <c r="F9" s="7" t="s">
        <v>0</v>
      </c>
      <c r="G9" t="s">
        <v>7</v>
      </c>
      <c r="H9" s="7" t="s">
        <v>0</v>
      </c>
      <c r="I9" t="s">
        <v>7</v>
      </c>
    </row>
    <row r="10" spans="1:9" x14ac:dyDescent="0.25">
      <c r="A10" s="9" t="s">
        <v>48</v>
      </c>
      <c r="B10" s="8"/>
      <c r="C10" s="8"/>
      <c r="D10" s="8">
        <v>350</v>
      </c>
      <c r="E10" s="8">
        <f>+D10*D7</f>
        <v>740250000</v>
      </c>
      <c r="F10" s="8">
        <v>2000</v>
      </c>
      <c r="G10" s="8">
        <f>+F10*D7</f>
        <v>4230000000</v>
      </c>
      <c r="H10" s="8">
        <v>10000</v>
      </c>
      <c r="I10" s="8">
        <f>+H10*D7</f>
        <v>21150000000</v>
      </c>
    </row>
    <row r="12" spans="1:9" ht="15.75" thickBot="1" x14ac:dyDescent="0.3">
      <c r="B12" s="46" t="s">
        <v>42</v>
      </c>
      <c r="C12" s="47"/>
      <c r="D12" s="46" t="s">
        <v>43</v>
      </c>
      <c r="E12" s="47"/>
      <c r="F12" s="46" t="s">
        <v>44</v>
      </c>
      <c r="G12" s="47"/>
      <c r="H12" s="46" t="s">
        <v>45</v>
      </c>
      <c r="I12" s="47"/>
    </row>
    <row r="13" spans="1:9" x14ac:dyDescent="0.25">
      <c r="A13" t="s">
        <v>51</v>
      </c>
      <c r="B13" s="12">
        <v>0.5</v>
      </c>
      <c r="C13" s="13"/>
      <c r="D13" s="10" t="s">
        <v>9</v>
      </c>
      <c r="E13" s="11"/>
      <c r="F13" s="10" t="s">
        <v>10</v>
      </c>
      <c r="G13" s="11"/>
      <c r="H13" s="10" t="s">
        <v>11</v>
      </c>
      <c r="I13" s="11"/>
    </row>
    <row r="14" spans="1:9" x14ac:dyDescent="0.25">
      <c r="B14" s="12"/>
      <c r="C14" s="13"/>
      <c r="D14" s="12"/>
      <c r="E14" s="13"/>
      <c r="F14" s="12"/>
      <c r="G14" s="13"/>
      <c r="H14" s="12"/>
      <c r="I14" s="13"/>
    </row>
    <row r="15" spans="1:9" x14ac:dyDescent="0.25">
      <c r="A15" t="s">
        <v>46</v>
      </c>
      <c r="B15">
        <v>0</v>
      </c>
      <c r="C15" s="15"/>
      <c r="D15" s="14">
        <f>+D4*0.5</f>
        <v>265268332.22</v>
      </c>
      <c r="E15" s="15"/>
      <c r="F15" s="14">
        <f>+D4*5</f>
        <v>2652683322.1999998</v>
      </c>
      <c r="G15" s="15"/>
      <c r="H15" s="14">
        <f>+D4*25</f>
        <v>13263416611</v>
      </c>
      <c r="I15" s="15"/>
    </row>
    <row r="16" spans="1:9" x14ac:dyDescent="0.25">
      <c r="A16" t="s">
        <v>47</v>
      </c>
      <c r="B16" s="14">
        <f>+B13*D4</f>
        <v>265268332.22</v>
      </c>
      <c r="C16" s="15">
        <f>B16</f>
        <v>265268332.22</v>
      </c>
      <c r="D16" s="14">
        <f>+D4*5</f>
        <v>2652683322.1999998</v>
      </c>
      <c r="E16" s="15">
        <f>E10</f>
        <v>740250000</v>
      </c>
      <c r="F16" s="14">
        <f>+D4*25</f>
        <v>13263416611</v>
      </c>
      <c r="G16" s="15">
        <f>G10</f>
        <v>4230000000</v>
      </c>
      <c r="H16" s="14"/>
      <c r="I16" s="15">
        <f>H15</f>
        <v>13263416611</v>
      </c>
    </row>
    <row r="17" spans="1:13" x14ac:dyDescent="0.25">
      <c r="A17" t="s">
        <v>50</v>
      </c>
      <c r="B17" s="14"/>
      <c r="C17" s="15">
        <f>C16</f>
        <v>265268332.22</v>
      </c>
      <c r="D17" s="14"/>
      <c r="E17" s="15">
        <f>E16</f>
        <v>740250000</v>
      </c>
      <c r="F17" s="14"/>
      <c r="G17" s="15"/>
      <c r="H17" s="14"/>
      <c r="I17" s="15"/>
    </row>
    <row r="18" spans="1:13" x14ac:dyDescent="0.25">
      <c r="A18" t="s">
        <v>49</v>
      </c>
      <c r="B18" s="12"/>
      <c r="C18" s="48">
        <f>B23*C16</f>
        <v>37137566.510800004</v>
      </c>
      <c r="D18" s="12"/>
      <c r="E18" s="48">
        <f>D23*E16</f>
        <v>59220000</v>
      </c>
      <c r="F18" s="12"/>
      <c r="G18" s="48">
        <f>F23*G16</f>
        <v>253800000</v>
      </c>
      <c r="H18" s="12"/>
      <c r="I18" s="48">
        <f>H23*I16</f>
        <v>530536664.44</v>
      </c>
    </row>
    <row r="19" spans="1:13" x14ac:dyDescent="0.25">
      <c r="B19" s="12"/>
      <c r="C19" s="48"/>
      <c r="D19" s="12"/>
      <c r="E19" s="48"/>
      <c r="F19" s="12"/>
      <c r="G19" s="48"/>
      <c r="H19" s="12"/>
      <c r="I19" s="48"/>
    </row>
    <row r="20" spans="1:13" x14ac:dyDescent="0.25">
      <c r="A20" s="26" t="s">
        <v>52</v>
      </c>
      <c r="B20" s="25"/>
      <c r="C20" s="49"/>
      <c r="D20" s="25"/>
      <c r="E20" s="49">
        <f>E18+C18</f>
        <v>96357566.510800004</v>
      </c>
      <c r="F20" s="12"/>
      <c r="G20" s="48"/>
      <c r="H20" s="12"/>
      <c r="I20" s="48"/>
    </row>
    <row r="21" spans="1:13" x14ac:dyDescent="0.25">
      <c r="B21" s="12"/>
      <c r="C21" s="48"/>
      <c r="D21" s="12"/>
      <c r="E21" s="48"/>
      <c r="F21" s="12"/>
      <c r="G21" s="48"/>
      <c r="H21" s="12"/>
      <c r="I21" s="48"/>
    </row>
    <row r="22" spans="1:13" ht="15.75" thickBot="1" x14ac:dyDescent="0.3">
      <c r="B22" s="12"/>
      <c r="C22" s="48"/>
      <c r="D22" s="12"/>
      <c r="E22" s="48"/>
      <c r="F22" s="12"/>
      <c r="G22" s="48"/>
      <c r="H22" s="12"/>
      <c r="I22" s="48"/>
    </row>
    <row r="23" spans="1:13" x14ac:dyDescent="0.25">
      <c r="A23" s="10" t="s">
        <v>12</v>
      </c>
      <c r="B23" s="37">
        <v>0.14000000000000001</v>
      </c>
      <c r="C23" s="36">
        <f>+B23*C10</f>
        <v>0</v>
      </c>
      <c r="D23" s="37">
        <v>0.08</v>
      </c>
      <c r="E23" s="36">
        <f>+D23*E10</f>
        <v>59220000</v>
      </c>
      <c r="F23" s="37">
        <v>0.06</v>
      </c>
      <c r="G23" s="36">
        <f>+F23*G10</f>
        <v>253800000</v>
      </c>
      <c r="H23" s="37">
        <v>0.04</v>
      </c>
      <c r="I23" s="36">
        <f>+H23*I10</f>
        <v>846000000</v>
      </c>
      <c r="J23" s="26" t="s">
        <v>29</v>
      </c>
    </row>
    <row r="24" spans="1:13" x14ac:dyDescent="0.25">
      <c r="A24" s="12" t="s">
        <v>13</v>
      </c>
      <c r="B24" s="25"/>
      <c r="C24" s="38"/>
      <c r="D24" s="25">
        <v>0.03</v>
      </c>
      <c r="E24" s="38">
        <f>+D24*D4</f>
        <v>15916099.9332</v>
      </c>
      <c r="F24" s="25">
        <v>0.13</v>
      </c>
      <c r="G24" s="38">
        <f>+F24*D4</f>
        <v>68969766.377200007</v>
      </c>
      <c r="H24" s="25">
        <v>0.63</v>
      </c>
      <c r="I24" s="38">
        <f>+H24*D4</f>
        <v>334238098.59719998</v>
      </c>
      <c r="J24" s="26" t="s">
        <v>30</v>
      </c>
    </row>
    <row r="25" spans="1:13" x14ac:dyDescent="0.25">
      <c r="A25" s="12"/>
      <c r="B25" s="25"/>
      <c r="C25" s="39">
        <f>SUM(C23:C24)</f>
        <v>0</v>
      </c>
      <c r="D25" s="40"/>
      <c r="E25" s="39">
        <f>SUM(E23:E24)</f>
        <v>75136099.933200002</v>
      </c>
      <c r="F25" s="40"/>
      <c r="G25" s="39">
        <f>SUM(G23:G24)</f>
        <v>322769766.37720001</v>
      </c>
      <c r="H25" s="40"/>
      <c r="I25" s="39">
        <f>SUM(I23:I24)</f>
        <v>1180238098.5971999</v>
      </c>
      <c r="J25" s="26"/>
      <c r="K25" s="41" t="s">
        <v>38</v>
      </c>
      <c r="L25" t="s">
        <v>37</v>
      </c>
      <c r="M25">
        <f>K25*E25</f>
        <v>45081659.959919997</v>
      </c>
    </row>
    <row r="26" spans="1:13" ht="15.75" thickBot="1" x14ac:dyDescent="0.3">
      <c r="A26" s="19"/>
      <c r="B26" s="19"/>
      <c r="C26" s="20" t="e">
        <f>+C25/C10</f>
        <v>#DIV/0!</v>
      </c>
      <c r="D26" s="21"/>
      <c r="E26" s="20">
        <f>+E25/E10</f>
        <v>0.10150097930861196</v>
      </c>
      <c r="F26" s="21"/>
      <c r="G26" s="20">
        <f>+G25/G10</f>
        <v>7.6304909309030736E-2</v>
      </c>
      <c r="H26" s="21"/>
      <c r="I26" s="20">
        <f>+I25/I10</f>
        <v>5.5803219791829783E-2</v>
      </c>
      <c r="K26" s="41" t="s">
        <v>39</v>
      </c>
      <c r="L26" t="s">
        <v>40</v>
      </c>
    </row>
    <row r="29" spans="1:13" x14ac:dyDescent="0.25">
      <c r="C29" s="27"/>
      <c r="D29" s="27"/>
      <c r="E29" s="27"/>
      <c r="F29" s="27"/>
      <c r="G29" s="27"/>
      <c r="H29" s="27"/>
      <c r="I29" s="27"/>
      <c r="J29" s="27"/>
      <c r="K29" s="27"/>
    </row>
    <row r="30" spans="1:13" x14ac:dyDescent="0.25">
      <c r="C30" s="27"/>
      <c r="D30" s="27"/>
      <c r="E30" s="27"/>
      <c r="F30" s="27"/>
      <c r="G30" s="27"/>
      <c r="H30" s="27"/>
      <c r="I30" s="27"/>
      <c r="J30" s="27"/>
      <c r="K30" s="27"/>
    </row>
  </sheetData>
  <mergeCells count="4">
    <mergeCell ref="B12:C12"/>
    <mergeCell ref="D12:E12"/>
    <mergeCell ref="F12:G12"/>
    <mergeCell ref="H12: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zoomScale="75" zoomScaleNormal="75" workbookViewId="0">
      <selection activeCell="C24" sqref="C24"/>
    </sheetView>
  </sheetViews>
  <sheetFormatPr baseColWidth="10" defaultRowHeight="15" x14ac:dyDescent="0.25"/>
  <cols>
    <col min="1" max="1" width="20.28515625" customWidth="1"/>
    <col min="2" max="2" width="16.140625" customWidth="1"/>
    <col min="3" max="3" width="15.7109375" bestFit="1" customWidth="1"/>
    <col min="4" max="4" width="15.28515625" customWidth="1"/>
    <col min="5" max="5" width="14.7109375" bestFit="1" customWidth="1"/>
    <col min="6" max="6" width="21.7109375" customWidth="1"/>
    <col min="7" max="7" width="14.28515625" customWidth="1"/>
    <col min="8" max="8" width="22.42578125" customWidth="1"/>
    <col min="9" max="9" width="23.5703125" customWidth="1"/>
  </cols>
  <sheetData>
    <row r="1" spans="1:10" x14ac:dyDescent="0.25">
      <c r="A1" s="22" t="s">
        <v>14</v>
      </c>
      <c r="B1" s="22"/>
      <c r="C1" s="22" t="s">
        <v>15</v>
      </c>
      <c r="D1" s="22"/>
      <c r="E1" s="22"/>
      <c r="F1" s="22"/>
      <c r="G1" s="22"/>
      <c r="H1" s="22"/>
      <c r="I1" s="22"/>
    </row>
    <row r="3" spans="1:10" x14ac:dyDescent="0.25">
      <c r="C3" s="5" t="s">
        <v>3</v>
      </c>
      <c r="D3" s="6">
        <v>522181756.32999998</v>
      </c>
      <c r="E3" s="2"/>
    </row>
    <row r="4" spans="1:10" x14ac:dyDescent="0.25">
      <c r="C4" s="7"/>
      <c r="D4" s="2"/>
      <c r="E4" s="2"/>
    </row>
    <row r="5" spans="1:10" x14ac:dyDescent="0.25">
      <c r="B5" t="s">
        <v>4</v>
      </c>
      <c r="C5" t="s">
        <v>5</v>
      </c>
      <c r="D5" s="2" t="s">
        <v>1</v>
      </c>
      <c r="E5" s="2"/>
    </row>
    <row r="6" spans="1:10" x14ac:dyDescent="0.25">
      <c r="A6" t="s">
        <v>6</v>
      </c>
      <c r="B6">
        <v>1300</v>
      </c>
      <c r="C6">
        <v>1400</v>
      </c>
      <c r="D6" s="8">
        <f>+C6*B6</f>
        <v>1820000</v>
      </c>
      <c r="E6" s="2"/>
    </row>
    <row r="7" spans="1:10" x14ac:dyDescent="0.25">
      <c r="D7" s="2"/>
      <c r="E7" s="2"/>
    </row>
    <row r="8" spans="1:10" x14ac:dyDescent="0.25">
      <c r="B8" s="7" t="s">
        <v>0</v>
      </c>
      <c r="C8" t="s">
        <v>7</v>
      </c>
      <c r="D8" s="7" t="s">
        <v>0</v>
      </c>
      <c r="E8" t="s">
        <v>7</v>
      </c>
      <c r="F8" s="7" t="s">
        <v>0</v>
      </c>
      <c r="G8" t="s">
        <v>7</v>
      </c>
      <c r="H8" s="7" t="s">
        <v>0</v>
      </c>
      <c r="I8" t="s">
        <v>7</v>
      </c>
    </row>
    <row r="9" spans="1:10" x14ac:dyDescent="0.25">
      <c r="A9" t="s">
        <v>8</v>
      </c>
      <c r="B9" s="1">
        <v>120</v>
      </c>
      <c r="C9" s="1">
        <f>+B9*D6</f>
        <v>218400000</v>
      </c>
      <c r="D9" s="1">
        <v>800</v>
      </c>
      <c r="E9" s="1">
        <f>+D9*D6</f>
        <v>1456000000</v>
      </c>
      <c r="F9" s="1">
        <v>2000</v>
      </c>
      <c r="G9" s="1">
        <f>+F9*D6</f>
        <v>3640000000</v>
      </c>
      <c r="H9" s="1">
        <v>10000</v>
      </c>
      <c r="I9" s="1">
        <f>+H9*D6</f>
        <v>18200000000</v>
      </c>
    </row>
    <row r="11" spans="1:10" x14ac:dyDescent="0.25">
      <c r="A11" s="23" t="s">
        <v>17</v>
      </c>
      <c r="C11" t="s">
        <v>16</v>
      </c>
      <c r="D11" t="s">
        <v>21</v>
      </c>
      <c r="G11" t="s">
        <v>18</v>
      </c>
      <c r="I11" t="s">
        <v>19</v>
      </c>
    </row>
    <row r="12" spans="1:10" x14ac:dyDescent="0.25">
      <c r="A12" s="9" t="s">
        <v>20</v>
      </c>
      <c r="B12" s="8">
        <v>111</v>
      </c>
      <c r="C12" s="8">
        <v>249492186.44999999</v>
      </c>
      <c r="D12" s="8">
        <v>800</v>
      </c>
      <c r="E12" s="8">
        <f>+E9</f>
        <v>1456000000</v>
      </c>
      <c r="F12" s="8">
        <v>2074</v>
      </c>
      <c r="G12" s="8">
        <v>4085433642</v>
      </c>
      <c r="H12" s="8">
        <v>11948</v>
      </c>
      <c r="I12" s="8">
        <v>28654350740</v>
      </c>
      <c r="J12" s="1"/>
    </row>
    <row r="13" spans="1:10" x14ac:dyDescent="0.25">
      <c r="B13" s="1"/>
      <c r="C13" s="1"/>
      <c r="D13" s="1"/>
      <c r="E13" s="1"/>
      <c r="F13" s="1"/>
      <c r="G13" s="1"/>
      <c r="H13" s="1"/>
      <c r="I13" s="1"/>
      <c r="J13" s="1"/>
    </row>
    <row r="16" spans="1:10" ht="15.75" thickBot="1" x14ac:dyDescent="0.3"/>
    <row r="17" spans="1:10" x14ac:dyDescent="0.25">
      <c r="A17" s="43" t="s">
        <v>26</v>
      </c>
      <c r="B17" s="10" t="s">
        <v>27</v>
      </c>
      <c r="C17" s="11"/>
      <c r="D17" s="10" t="s">
        <v>23</v>
      </c>
      <c r="E17" s="11"/>
      <c r="F17" s="10" t="s">
        <v>24</v>
      </c>
      <c r="G17" s="11"/>
      <c r="H17" s="10" t="s">
        <v>25</v>
      </c>
      <c r="I17" s="11"/>
    </row>
    <row r="18" spans="1:10" x14ac:dyDescent="0.25">
      <c r="A18" s="44"/>
      <c r="B18" s="12"/>
      <c r="C18" s="13"/>
      <c r="D18" s="12"/>
      <c r="E18" s="13"/>
      <c r="F18" s="12"/>
      <c r="G18" s="13"/>
      <c r="H18" s="12"/>
      <c r="I18" s="13"/>
    </row>
    <row r="19" spans="1:10" x14ac:dyDescent="0.25">
      <c r="A19" s="44"/>
      <c r="B19" s="14">
        <v>261090878.16499999</v>
      </c>
      <c r="C19" s="15"/>
      <c r="D19" s="14">
        <v>261090878.16499999</v>
      </c>
      <c r="E19" s="15"/>
      <c r="F19" s="14">
        <v>2610908781.6500001</v>
      </c>
      <c r="G19" s="15"/>
      <c r="H19" s="14">
        <v>13054543908.25</v>
      </c>
      <c r="I19" s="15"/>
    </row>
    <row r="20" spans="1:10" x14ac:dyDescent="0.25">
      <c r="A20" s="44"/>
      <c r="B20" s="12"/>
      <c r="C20" s="13"/>
      <c r="D20" s="14">
        <v>2610908781.6500001</v>
      </c>
      <c r="E20" s="15"/>
      <c r="F20" s="14">
        <v>13054543908.25</v>
      </c>
      <c r="G20" s="15"/>
      <c r="H20" s="14"/>
      <c r="I20" s="15"/>
    </row>
    <row r="21" spans="1:10" ht="15.75" thickBot="1" x14ac:dyDescent="0.3">
      <c r="A21" s="45"/>
      <c r="B21" s="12"/>
      <c r="C21" s="13"/>
      <c r="D21" s="12"/>
      <c r="E21" s="13"/>
      <c r="F21" s="12"/>
      <c r="G21" s="13"/>
      <c r="H21" s="12"/>
      <c r="I21" s="13"/>
    </row>
    <row r="22" spans="1:10" x14ac:dyDescent="0.25">
      <c r="A22" s="43" t="s">
        <v>28</v>
      </c>
      <c r="B22" s="35">
        <v>2.3E-3</v>
      </c>
      <c r="C22" s="36">
        <f>+B22*C12</f>
        <v>573832.028835</v>
      </c>
      <c r="D22" s="37">
        <v>1.1999999999999999E-3</v>
      </c>
      <c r="E22" s="36">
        <f>+D22*E12</f>
        <v>1747199.9999999998</v>
      </c>
      <c r="F22" s="37">
        <v>8.0000000000000004E-4</v>
      </c>
      <c r="G22" s="36">
        <f>+F22*G12</f>
        <v>3268346.9136000001</v>
      </c>
      <c r="H22" s="37">
        <v>4.0000000000000002E-4</v>
      </c>
      <c r="I22" s="36">
        <f>+H22*I12</f>
        <v>11461740.296</v>
      </c>
    </row>
    <row r="23" spans="1:10" x14ac:dyDescent="0.25">
      <c r="A23" s="44"/>
      <c r="B23" s="25"/>
      <c r="C23" s="38"/>
      <c r="D23" s="25"/>
      <c r="E23" s="38"/>
      <c r="F23" s="25"/>
      <c r="G23" s="38"/>
      <c r="H23" s="25"/>
      <c r="I23" s="38"/>
    </row>
    <row r="24" spans="1:10" x14ac:dyDescent="0.25">
      <c r="A24" s="44"/>
      <c r="B24" s="25"/>
      <c r="C24" s="39">
        <f>C22</f>
        <v>573832.028835</v>
      </c>
      <c r="D24" s="40"/>
      <c r="E24" s="39">
        <f>E22</f>
        <v>1747199.9999999998</v>
      </c>
      <c r="F24" s="40"/>
      <c r="G24" s="39">
        <f>G22</f>
        <v>3268346.9136000001</v>
      </c>
      <c r="H24" s="40"/>
      <c r="I24" s="39">
        <f>I22</f>
        <v>11461740.296</v>
      </c>
    </row>
    <row r="25" spans="1:10" ht="15.75" thickBot="1" x14ac:dyDescent="0.3">
      <c r="A25" s="45"/>
      <c r="B25" s="29"/>
      <c r="C25" s="30">
        <f>+C24/C12</f>
        <v>2.3E-3</v>
      </c>
      <c r="D25" s="31"/>
      <c r="E25" s="32">
        <f>+E24/E12</f>
        <v>1.1999999999999999E-3</v>
      </c>
      <c r="F25" s="33"/>
      <c r="G25" s="32">
        <f>+G24/G12</f>
        <v>8.0000000000000004E-4</v>
      </c>
      <c r="H25" s="33"/>
      <c r="I25" s="32">
        <f>+I24/I12</f>
        <v>4.0000000000000002E-4</v>
      </c>
      <c r="J25" s="34"/>
    </row>
    <row r="27" spans="1:10" x14ac:dyDescent="0.25">
      <c r="D27" t="s">
        <v>41</v>
      </c>
    </row>
    <row r="28" spans="1:10" x14ac:dyDescent="0.25">
      <c r="B28">
        <v>1200</v>
      </c>
      <c r="C28">
        <v>1460</v>
      </c>
      <c r="D28">
        <v>820</v>
      </c>
      <c r="E28">
        <f>B28*(D28*C28)</f>
        <v>1436640000</v>
      </c>
    </row>
    <row r="29" spans="1:10" x14ac:dyDescent="0.25">
      <c r="B29" s="42" t="s">
        <v>37</v>
      </c>
      <c r="D29" s="41" t="s">
        <v>38</v>
      </c>
    </row>
    <row r="30" spans="1:10" x14ac:dyDescent="0.25">
      <c r="B30" t="s">
        <v>40</v>
      </c>
      <c r="D30" s="41" t="s">
        <v>39</v>
      </c>
    </row>
    <row r="31" spans="1:10" x14ac:dyDescent="0.25">
      <c r="B31" s="42" t="s">
        <v>36</v>
      </c>
      <c r="C31" s="42" t="s">
        <v>31</v>
      </c>
      <c r="D31" t="s">
        <v>34</v>
      </c>
    </row>
    <row r="32" spans="1:10" x14ac:dyDescent="0.25">
      <c r="C32" s="42" t="s">
        <v>32</v>
      </c>
      <c r="D32" t="s">
        <v>35</v>
      </c>
    </row>
    <row r="33" spans="2:4" x14ac:dyDescent="0.25">
      <c r="C33" t="s">
        <v>33</v>
      </c>
      <c r="D33" t="s">
        <v>35</v>
      </c>
    </row>
    <row r="34" spans="2:4" x14ac:dyDescent="0.25">
      <c r="B34" t="s">
        <v>22</v>
      </c>
    </row>
  </sheetData>
  <mergeCells count="2">
    <mergeCell ref="A17:A21"/>
    <mergeCell ref="A22:A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75" zoomScaleNormal="75" workbookViewId="0">
      <selection activeCell="C33" sqref="C33"/>
    </sheetView>
  </sheetViews>
  <sheetFormatPr baseColWidth="10" defaultRowHeight="15" x14ac:dyDescent="0.25"/>
  <cols>
    <col min="1" max="1" width="12.7109375" customWidth="1"/>
    <col min="2" max="2" width="18.28515625" customWidth="1"/>
    <col min="3" max="3" width="15.7109375" bestFit="1" customWidth="1"/>
    <col min="4" max="4" width="15.28515625" customWidth="1"/>
    <col min="5" max="5" width="14.7109375" bestFit="1" customWidth="1"/>
    <col min="6" max="6" width="19.42578125" customWidth="1"/>
    <col min="7" max="7" width="14.28515625" customWidth="1"/>
    <col min="8" max="8" width="20.28515625" customWidth="1"/>
    <col min="9" max="9" width="15" customWidth="1"/>
  </cols>
  <sheetData>
    <row r="1" spans="1:9" x14ac:dyDescent="0.25">
      <c r="A1" s="22" t="s">
        <v>14</v>
      </c>
      <c r="B1" s="22"/>
      <c r="C1" s="22" t="s">
        <v>15</v>
      </c>
      <c r="D1" s="22"/>
      <c r="E1" s="22"/>
      <c r="F1" s="22"/>
      <c r="G1" s="22"/>
      <c r="H1" s="22"/>
      <c r="I1" s="22"/>
    </row>
    <row r="3" spans="1:9" x14ac:dyDescent="0.25">
      <c r="C3" s="5" t="s">
        <v>3</v>
      </c>
      <c r="D3" s="6">
        <v>522181756.32999998</v>
      </c>
      <c r="E3" s="2"/>
    </row>
    <row r="4" spans="1:9" x14ac:dyDescent="0.25">
      <c r="C4" s="7"/>
      <c r="D4" s="2"/>
      <c r="E4" s="2"/>
    </row>
    <row r="5" spans="1:9" x14ac:dyDescent="0.25">
      <c r="B5" t="s">
        <v>4</v>
      </c>
      <c r="C5" t="s">
        <v>5</v>
      </c>
      <c r="D5" s="2" t="s">
        <v>1</v>
      </c>
      <c r="E5" s="2"/>
    </row>
    <row r="6" spans="1:9" x14ac:dyDescent="0.25">
      <c r="A6" t="s">
        <v>6</v>
      </c>
      <c r="B6">
        <v>1300</v>
      </c>
      <c r="C6">
        <v>1400</v>
      </c>
      <c r="D6" s="8">
        <f>+C6*B6</f>
        <v>1820000</v>
      </c>
      <c r="E6" s="2"/>
    </row>
    <row r="7" spans="1:9" x14ac:dyDescent="0.25">
      <c r="D7" s="2"/>
      <c r="E7" s="2"/>
    </row>
    <row r="8" spans="1:9" x14ac:dyDescent="0.25">
      <c r="B8" s="7" t="s">
        <v>0</v>
      </c>
      <c r="C8" t="s">
        <v>7</v>
      </c>
      <c r="D8" s="7" t="s">
        <v>0</v>
      </c>
      <c r="E8" t="s">
        <v>7</v>
      </c>
      <c r="F8" s="7" t="s">
        <v>0</v>
      </c>
      <c r="G8" t="s">
        <v>7</v>
      </c>
      <c r="H8" s="7" t="s">
        <v>0</v>
      </c>
      <c r="I8" t="s">
        <v>7</v>
      </c>
    </row>
    <row r="9" spans="1:9" x14ac:dyDescent="0.25">
      <c r="A9" t="s">
        <v>8</v>
      </c>
      <c r="B9" s="1">
        <v>120</v>
      </c>
      <c r="C9" s="1">
        <f>+B9*D6</f>
        <v>218400000</v>
      </c>
      <c r="D9" s="1">
        <v>800</v>
      </c>
      <c r="E9" s="1">
        <f>+D9*D6</f>
        <v>1456000000</v>
      </c>
      <c r="F9" s="1">
        <v>2000</v>
      </c>
      <c r="G9" s="1">
        <f>+F9*D6</f>
        <v>3640000000</v>
      </c>
      <c r="H9" s="1">
        <v>10000</v>
      </c>
      <c r="I9" s="1">
        <f>+H9*D6</f>
        <v>18200000000</v>
      </c>
    </row>
    <row r="11" spans="1:9" x14ac:dyDescent="0.25">
      <c r="A11" s="23" t="s">
        <v>22</v>
      </c>
      <c r="C11" t="s">
        <v>16</v>
      </c>
      <c r="D11" t="s">
        <v>21</v>
      </c>
      <c r="G11" t="s">
        <v>18</v>
      </c>
      <c r="I11" t="s">
        <v>19</v>
      </c>
    </row>
    <row r="12" spans="1:9" x14ac:dyDescent="0.25">
      <c r="A12" s="9" t="s">
        <v>20</v>
      </c>
      <c r="B12" s="8">
        <v>111</v>
      </c>
      <c r="C12" s="8">
        <v>249492186.44999999</v>
      </c>
      <c r="D12" s="8">
        <v>800</v>
      </c>
      <c r="E12" s="8">
        <f>+E9</f>
        <v>1456000000</v>
      </c>
      <c r="F12" s="8">
        <v>2074</v>
      </c>
      <c r="G12" s="8">
        <v>4085433642</v>
      </c>
      <c r="H12" s="8">
        <v>11948</v>
      </c>
      <c r="I12" s="8">
        <v>28654350740</v>
      </c>
    </row>
    <row r="13" spans="1:9" ht="16.149999999999999" customHeight="1" x14ac:dyDescent="0.25">
      <c r="B13" s="1"/>
      <c r="C13" s="1"/>
      <c r="D13" s="1"/>
      <c r="E13" s="1"/>
      <c r="F13" s="1"/>
      <c r="G13" s="1"/>
      <c r="H13" s="1"/>
      <c r="I13" s="1"/>
    </row>
    <row r="14" spans="1:9" hidden="1" x14ac:dyDescent="0.25">
      <c r="B14" s="10">
        <v>0.5</v>
      </c>
      <c r="C14" s="11"/>
      <c r="D14" s="10" t="s">
        <v>9</v>
      </c>
      <c r="E14" s="11"/>
      <c r="F14" s="10" t="s">
        <v>10</v>
      </c>
      <c r="G14" s="11"/>
      <c r="H14" s="10" t="s">
        <v>11</v>
      </c>
      <c r="I14" s="11"/>
    </row>
    <row r="15" spans="1:9" hidden="1" x14ac:dyDescent="0.25">
      <c r="B15" s="12"/>
      <c r="C15" s="13"/>
      <c r="D15" s="12"/>
      <c r="E15" s="13"/>
      <c r="F15" s="12"/>
      <c r="G15" s="13"/>
      <c r="H15" s="12"/>
      <c r="I15" s="13"/>
    </row>
    <row r="16" spans="1:9" hidden="1" x14ac:dyDescent="0.25">
      <c r="B16" s="14">
        <v>261090878.16499999</v>
      </c>
      <c r="C16" s="15"/>
      <c r="D16" s="14">
        <v>261090878.16499999</v>
      </c>
      <c r="E16" s="15"/>
      <c r="F16" s="14">
        <v>2610908781.6500001</v>
      </c>
      <c r="G16" s="15"/>
      <c r="H16" s="14">
        <v>13054543908.25</v>
      </c>
      <c r="I16" s="15"/>
    </row>
    <row r="17" spans="1:9" hidden="1" x14ac:dyDescent="0.25">
      <c r="B17" s="12"/>
      <c r="C17" s="13"/>
      <c r="D17" s="14">
        <v>2610908781.6500001</v>
      </c>
      <c r="E17" s="15"/>
      <c r="F17" s="14">
        <v>13054543908.25</v>
      </c>
      <c r="G17" s="15"/>
      <c r="H17" s="14"/>
      <c r="I17" s="15"/>
    </row>
    <row r="18" spans="1:9" hidden="1" x14ac:dyDescent="0.25">
      <c r="B18" s="12"/>
      <c r="C18" s="13"/>
      <c r="D18" s="12"/>
      <c r="E18" s="13"/>
      <c r="F18" s="12"/>
      <c r="G18" s="13"/>
      <c r="H18" s="12"/>
      <c r="I18" s="13"/>
    </row>
    <row r="19" spans="1:9" hidden="1" x14ac:dyDescent="0.25">
      <c r="A19" s="10"/>
      <c r="B19" s="24">
        <v>3.0000000000000001E-3</v>
      </c>
      <c r="C19" s="16">
        <f>+B19*C12</f>
        <v>748476.55935</v>
      </c>
      <c r="D19" s="10">
        <v>1.8E-3</v>
      </c>
      <c r="E19" s="16">
        <f>+D19*E12</f>
        <v>2620800</v>
      </c>
      <c r="F19" s="10">
        <v>1.4E-3</v>
      </c>
      <c r="G19" s="16">
        <f>+F19*G12</f>
        <v>5719607.0987999998</v>
      </c>
      <c r="H19" s="10">
        <v>1.1000000000000001E-3</v>
      </c>
      <c r="I19" s="16">
        <f>+H19*I12</f>
        <v>31519785.814000003</v>
      </c>
    </row>
    <row r="20" spans="1:9" hidden="1" x14ac:dyDescent="0.25">
      <c r="A20" s="12"/>
      <c r="B20" s="12"/>
      <c r="C20" s="15"/>
      <c r="D20" s="12">
        <v>2E-3</v>
      </c>
      <c r="E20" s="15">
        <f>+D20*D3</f>
        <v>1044363.51266</v>
      </c>
      <c r="F20" s="12">
        <v>5.7000000000000002E-3</v>
      </c>
      <c r="G20" s="15">
        <f>+F20*D3</f>
        <v>2976436.0110809999</v>
      </c>
      <c r="H20" s="12">
        <v>2.5000000000000001E-2</v>
      </c>
      <c r="I20" s="15">
        <f>+H20*D3</f>
        <v>13054543.90825</v>
      </c>
    </row>
    <row r="21" spans="1:9" hidden="1" x14ac:dyDescent="0.25">
      <c r="A21" s="12"/>
      <c r="B21" s="12"/>
      <c r="C21" s="17">
        <f>SUM(C19:C20)</f>
        <v>748476.55935</v>
      </c>
      <c r="D21" s="18"/>
      <c r="E21" s="17">
        <f>SUM(E19:E20)</f>
        <v>3665163.51266</v>
      </c>
      <c r="F21" s="18"/>
      <c r="G21" s="17">
        <f>SUM(G19:G20)</f>
        <v>8696043.1098809987</v>
      </c>
      <c r="H21" s="18"/>
      <c r="I21" s="17">
        <f>SUM(I19:I20)</f>
        <v>44574329.72225</v>
      </c>
    </row>
    <row r="22" spans="1:9" ht="15.75" hidden="1" thickBot="1" x14ac:dyDescent="0.3">
      <c r="A22" s="19"/>
      <c r="B22" s="19"/>
      <c r="C22" s="20">
        <f>+C21/C12</f>
        <v>3.0000000000000001E-3</v>
      </c>
      <c r="D22" s="21"/>
      <c r="E22" s="28" t="e">
        <f>+E21/#REF!</f>
        <v>#REF!</v>
      </c>
      <c r="F22" s="21"/>
      <c r="G22" s="20">
        <f>+G21/G12</f>
        <v>2.1285483676645651E-3</v>
      </c>
      <c r="H22" s="21"/>
      <c r="I22" s="20">
        <f>+I21/I12</f>
        <v>1.5555867982039644E-3</v>
      </c>
    </row>
    <row r="23" spans="1:9" hidden="1" x14ac:dyDescent="0.25"/>
    <row r="24" spans="1:9" ht="15.75" thickBot="1" x14ac:dyDescent="0.3"/>
    <row r="25" spans="1:9" x14ac:dyDescent="0.25">
      <c r="A25" s="43" t="s">
        <v>26</v>
      </c>
      <c r="B25" s="10" t="s">
        <v>27</v>
      </c>
      <c r="C25" s="11"/>
      <c r="D25" s="10" t="s">
        <v>23</v>
      </c>
      <c r="E25" s="11"/>
      <c r="F25" s="10" t="s">
        <v>24</v>
      </c>
      <c r="G25" s="11"/>
      <c r="H25" s="10" t="s">
        <v>25</v>
      </c>
      <c r="I25" s="11"/>
    </row>
    <row r="26" spans="1:9" x14ac:dyDescent="0.25">
      <c r="A26" s="44"/>
      <c r="B26" s="12"/>
      <c r="C26" s="13"/>
      <c r="D26" s="12"/>
      <c r="E26" s="13"/>
      <c r="F26" s="12"/>
      <c r="G26" s="13"/>
      <c r="H26" s="12"/>
      <c r="I26" s="13"/>
    </row>
    <row r="27" spans="1:9" ht="14.45" customHeight="1" x14ac:dyDescent="0.25">
      <c r="A27" s="44"/>
      <c r="B27" s="14">
        <v>261090878.16499999</v>
      </c>
      <c r="C27" s="15"/>
      <c r="D27" s="14">
        <v>261090878.16499999</v>
      </c>
      <c r="E27" s="15"/>
      <c r="F27" s="14">
        <v>2610908781.6500001</v>
      </c>
      <c r="G27" s="15"/>
      <c r="H27" s="14">
        <v>13054543908.25</v>
      </c>
      <c r="I27" s="15"/>
    </row>
    <row r="28" spans="1:9" x14ac:dyDescent="0.25">
      <c r="A28" s="44"/>
      <c r="B28" s="12"/>
      <c r="C28" s="13"/>
      <c r="D28" s="14">
        <v>2610908781.6500001</v>
      </c>
      <c r="E28" s="15"/>
      <c r="F28" s="14">
        <v>13054543908.25</v>
      </c>
      <c r="G28" s="15"/>
      <c r="H28" s="14"/>
      <c r="I28" s="15"/>
    </row>
    <row r="29" spans="1:9" ht="15.75" thickBot="1" x14ac:dyDescent="0.3">
      <c r="A29" s="45"/>
      <c r="B29" s="12"/>
      <c r="C29" s="13"/>
      <c r="D29" s="12"/>
      <c r="E29" s="13"/>
      <c r="F29" s="12"/>
      <c r="G29" s="13"/>
      <c r="H29" s="12"/>
      <c r="I29" s="13"/>
    </row>
    <row r="30" spans="1:9" x14ac:dyDescent="0.25">
      <c r="A30" s="43" t="s">
        <v>28</v>
      </c>
      <c r="B30" s="35">
        <v>3.0000000000000001E-3</v>
      </c>
      <c r="C30" s="36">
        <f>+B30*C12</f>
        <v>748476.55935</v>
      </c>
      <c r="D30" s="37">
        <v>2.5999999999999999E-3</v>
      </c>
      <c r="E30" s="36">
        <f>+D30*E12</f>
        <v>3785600</v>
      </c>
      <c r="F30" s="37">
        <v>2.0999999999999999E-3</v>
      </c>
      <c r="G30" s="36">
        <f>+F30*G12</f>
        <v>8579410.6481999997</v>
      </c>
      <c r="H30" s="37">
        <v>1.6000000000000001E-3</v>
      </c>
      <c r="I30" s="36">
        <f>+H30*I12</f>
        <v>45846961.184</v>
      </c>
    </row>
    <row r="31" spans="1:9" x14ac:dyDescent="0.25">
      <c r="A31" s="44"/>
      <c r="B31" s="25"/>
      <c r="C31" s="38"/>
      <c r="D31" s="25"/>
      <c r="E31" s="38"/>
      <c r="F31" s="25"/>
      <c r="G31" s="38"/>
      <c r="H31" s="25"/>
      <c r="I31" s="38"/>
    </row>
    <row r="32" spans="1:9" x14ac:dyDescent="0.25">
      <c r="A32" s="44"/>
      <c r="B32" s="25"/>
      <c r="C32" s="39">
        <f>SUM(C30:C31)</f>
        <v>748476.55935</v>
      </c>
      <c r="D32" s="40"/>
      <c r="E32" s="39">
        <f>SUM(E30:E31)</f>
        <v>3785600</v>
      </c>
      <c r="F32" s="40"/>
      <c r="G32" s="39">
        <f>SUM(G30:G31)</f>
        <v>8579410.6481999997</v>
      </c>
      <c r="H32" s="40"/>
      <c r="I32" s="39">
        <f>SUM(I30:I31)</f>
        <v>45846961.184</v>
      </c>
    </row>
    <row r="33" spans="1:9" ht="15.75" thickBot="1" x14ac:dyDescent="0.3">
      <c r="A33" s="45"/>
      <c r="B33" s="29"/>
      <c r="C33" s="30">
        <f>+C32/C12</f>
        <v>3.0000000000000001E-3</v>
      </c>
      <c r="D33" s="31"/>
      <c r="E33" s="32">
        <f>+E32/E12</f>
        <v>2.5999999999999999E-3</v>
      </c>
      <c r="F33" s="33"/>
      <c r="G33" s="32">
        <f>+G32/G12</f>
        <v>2.0999999999999999E-3</v>
      </c>
      <c r="H33" s="33"/>
      <c r="I33" s="32">
        <f>+I32/I12</f>
        <v>1.6000000000000001E-3</v>
      </c>
    </row>
  </sheetData>
  <mergeCells count="2">
    <mergeCell ref="A25:A29"/>
    <mergeCell ref="A30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PyD Arquitectura</vt:lpstr>
      <vt:lpstr>P Instalaciones</vt:lpstr>
      <vt:lpstr>P estructuras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del puerto</dc:creator>
  <cp:lastModifiedBy>Carlos Sanchez</cp:lastModifiedBy>
  <dcterms:created xsi:type="dcterms:W3CDTF">2025-11-26T22:22:49Z</dcterms:created>
  <dcterms:modified xsi:type="dcterms:W3CDTF">2026-04-20T14:49:45Z</dcterms:modified>
</cp:coreProperties>
</file>